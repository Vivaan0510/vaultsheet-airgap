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lean_Ledger" sheetId="1" state="visible" r:id="rId1"/>
    <sheet name="Executive_Summary" sheetId="2" state="visible" r:id="rId2"/>
    <sheet name="Risk_And_Anomalies" sheetId="3" state="visible" r:id="rId3"/>
    <sheet name="Tally_Prime_Import" sheetId="4" state="visible" r:id="rId4"/>
  </sheets>
  <definedNames>
    <definedName name="_xlnm._FilterDatabase" localSheetId="0" hidden="1">'Clean_Ledger'!$A$6:$O$31</definedName>
    <definedName name="_xlnm.Print_Titles" localSheetId="0">'Clean_Ledger'!$1:$6</definedName>
    <definedName name="_xlnm.Print_Area" localSheetId="0">'Clean_Ledger'!$A$1:$O$31</definedName>
    <definedName name="_xlnm.Print_Titles" localSheetId="1">'Executive_Summary'!$1:$6</definedName>
    <definedName name="_xlnm.Print_Area" localSheetId="1">'Executive_Summary'!$A$1:$G$52</definedName>
    <definedName name="_xlnm._FilterDatabase" localSheetId="2" hidden="1">'Risk_And_Anomalies'!$A$6:$P$14</definedName>
    <definedName name="_xlnm.Print_Titles" localSheetId="2">'Risk_And_Anomalies'!$1:$6</definedName>
    <definedName name="_xlnm.Print_Area" localSheetId="2">'Risk_And_Anomalies'!$A$1:$P$14</definedName>
    <definedName name="_xlnm._FilterDatabase" localSheetId="3" hidden="1">'Tally_Prime_Import'!$A$6:$H$31</definedName>
    <definedName name="_xlnm.Print_Titles" localSheetId="3">'Tally_Prime_Import'!$1:$6</definedName>
    <definedName name="_xlnm.Print_Area" localSheetId="3">'Tally_Prime_Import'!$A$1:$H$31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,##0.00;[Red](#,##,##0.00);&quot;-&quot;"/>
    <numFmt numFmtId="165" formatCode="yyyy-mm-dd h:mm:ss"/>
    <numFmt numFmtId="166" formatCode="dd-mm-yyyy"/>
    <numFmt numFmtId="167" formatCode="#,##,##0.00"/>
    <numFmt numFmtId="168" formatCode="#,##,##0"/>
  </numFmts>
  <fonts count="6">
    <font>
      <name val="Calibri"/>
      <family val="2"/>
      <color theme="1"/>
      <sz val="11"/>
      <scheme val="minor"/>
    </font>
    <font>
      <name val="Calibri"/>
      <color rgb="001B365D"/>
      <sz val="11"/>
    </font>
    <font>
      <name val="Calibri"/>
      <b val="1"/>
      <color rgb="00FFFFFF"/>
      <sz val="11"/>
    </font>
    <font>
      <name val="Calibri"/>
      <b val="1"/>
      <color rgb="00FFFFFF"/>
      <sz val="17"/>
    </font>
    <font>
      <name val="Calibri"/>
      <b val="1"/>
      <color rgb="001B365D"/>
      <sz val="15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52657A"/>
      </patternFill>
    </fill>
    <fill>
      <patternFill patternType="solid">
        <fgColor rgb="00EAF0F6"/>
      </patternFill>
    </fill>
    <fill>
      <patternFill patternType="solid">
        <fgColor rgb="00FEF9E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0" fontId="4" fillId="4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49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top" wrapText="1"/>
    </xf>
    <xf numFmtId="167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10" fontId="1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8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10" fontId="5" fillId="4" borderId="1" applyAlignment="1" pivotButton="0" quotePrefix="0" xfId="0">
      <alignment vertical="center"/>
    </xf>
    <xf numFmtId="0" fontId="1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ADBD8"/>
        </patternFill>
      </fill>
    </dxf>
    <dxf>
      <fill>
        <patternFill patternType="solid">
          <fgColor rgb="00FCF3CF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VaultSheetLedger" displayName="VaultSheetLedger" ref="A6:O31" headerRowCount="1">
  <autoFilter ref="A6:O31"/>
  <tableColumns count="15">
    <tableColumn id="1" name="tx_id"/>
    <tableColumn id="2" name="date"/>
    <tableColumn id="3" name="description"/>
    <tableColumn id="4" name="ref_no"/>
    <tableColumn id="5" name="debit"/>
    <tableColumn id="6" name="credit"/>
    <tableColumn id="7" name="balance"/>
    <tableColumn id="8" name="math_verified"/>
    <tableColumn id="9" name="extraction_method"/>
    <tableColumn id="10" name="category"/>
    <tableColumn id="11" name="tally_ledger"/>
    <tableColumn id="12" name="tally_voucher_type"/>
    <tableColumn id="13" name="confidence"/>
    <tableColumn id="14" name="anomaly_flag"/>
    <tableColumn id="15" name="anomaly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aultSheetRisks" displayName="VaultSheetRisks" ref="A6:P14" headerRowCount="1">
  <autoFilter ref="A6:P14"/>
  <tableColumns count="16">
    <tableColumn id="1" name="tx_id"/>
    <tableColumn id="2" name="date"/>
    <tableColumn id="3" name="description"/>
    <tableColumn id="4" name="ref_no"/>
    <tableColumn id="5" name="debit"/>
    <tableColumn id="6" name="credit"/>
    <tableColumn id="7" name="balance"/>
    <tableColumn id="8" name="math_verified"/>
    <tableColumn id="9" name="extraction_method"/>
    <tableColumn id="10" name="category"/>
    <tableColumn id="11" name="tally_ledger"/>
    <tableColumn id="12" name="tally_voucher_type"/>
    <tableColumn id="13" name="confidence"/>
    <tableColumn id="14" name="anomaly_flag"/>
    <tableColumn id="15" name="anomaly_reason"/>
    <tableColumn id="16" name="Chartered Accountant / Auditor 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ultSheetTallyImport" displayName="VaultSheetTallyImport" ref="A6:H31" headerRowCount="1">
  <autoFilter ref="A6:H31"/>
  <tableColumns count="8">
    <tableColumn id="1" name="Date (DD-MM-YYYY)"/>
    <tableColumn id="2" name="Voucher Type"/>
    <tableColumn id="3" name="Party / Ledger Name"/>
    <tableColumn id="4" name="Bank Ledger Name"/>
    <tableColumn id="5" name="Instrument / UTR No"/>
    <tableColumn id="6" name="Debit Amount"/>
    <tableColumn id="7" name="Credit Amount"/>
    <tableColumn id="8" name="Nar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1B365D"/>
    <outlinePr summaryBelow="1" summaryRight="0"/>
    <pageSetUpPr fitToPage="1"/>
  </sheetPr>
  <dimension ref="A1:O31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12" customWidth="1" min="1" max="1"/>
    <col width="12" customWidth="1" min="2" max="2"/>
    <col width="55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9" customWidth="1" min="9" max="9"/>
    <col width="28" customWidth="1" min="10" max="10"/>
    <col width="35" customWidth="1" min="11" max="11"/>
    <col width="20" customWidth="1" min="12" max="12"/>
    <col width="12" customWidth="1" min="13" max="13"/>
    <col width="14" customWidth="1" min="14" max="14"/>
    <col width="55" customWidth="1" min="15" max="15"/>
  </cols>
  <sheetData>
    <row r="1" ht="36" customHeight="1">
      <c r="A1" s="1" t="inlineStr">
        <is>
          <t>VAULTSHEET — ZERO-KNOWLEDGE AUDIT LEDGER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</row>
    <row r="2" ht="27" customHeight="1">
      <c r="A2" s="4" t="inlineStr">
        <is>
          <t>Audited source ledger | INR | Red: anomaly | Amber: unverified arithmetic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n"/>
    </row>
    <row r="3" ht="27" customHeight="1">
      <c r="A3" s="4" t="inlineStr">
        <is>
          <t>Opening Balance</t>
        </is>
      </c>
      <c r="B3" s="3" t="n"/>
      <c r="C3" s="4" t="inlineStr">
        <is>
          <t>Total Debits</t>
        </is>
      </c>
      <c r="D3" s="3" t="n"/>
      <c r="E3" s="4" t="inlineStr">
        <is>
          <t>Total Credits</t>
        </is>
      </c>
      <c r="F3" s="3" t="n"/>
      <c r="G3" s="4" t="inlineStr">
        <is>
          <t>Closing Balance</t>
        </is>
      </c>
      <c r="H3" s="3" t="n"/>
      <c r="I3" s="4" t="inlineStr">
        <is>
          <t>Math Verification %</t>
        </is>
      </c>
      <c r="J3" s="3" t="n"/>
      <c r="K3" s="4" t="inlineStr">
        <is>
          <t>Hidden Bank Fees</t>
        </is>
      </c>
      <c r="L3" s="3" t="n"/>
      <c r="M3" s="4" t="inlineStr">
        <is>
          <t>Daily Burn Rate</t>
        </is>
      </c>
      <c r="N3" s="3" t="n"/>
    </row>
    <row r="4" ht="32" customHeight="1">
      <c r="A4" s="5" t="n">
        <v>1640000</v>
      </c>
      <c r="B4" s="3" t="n"/>
      <c r="C4" s="5">
        <f>SUM(E7:E31)</f>
        <v/>
      </c>
      <c r="D4" s="3" t="n"/>
      <c r="E4" s="5">
        <f>SUM(F7:F31)</f>
        <v/>
      </c>
      <c r="F4" s="3" t="n"/>
      <c r="G4" s="5" t="n">
        <v>1678723.9</v>
      </c>
      <c r="H4" s="3" t="n"/>
      <c r="I4" s="6">
        <f>IFERROR(COUNTIFS(H7:H31,TRUE,A7:A31,"&lt;&gt;")/COUNTA(A7:A31),0)</f>
        <v/>
      </c>
      <c r="J4" s="3" t="n"/>
      <c r="K4" s="5" t="n">
        <v>1203.6</v>
      </c>
      <c r="L4" s="3" t="n"/>
      <c r="M4" s="5" t="n">
        <v>20002.85</v>
      </c>
      <c r="N4" s="3" t="n"/>
    </row>
    <row r="6" ht="34" customHeight="1">
      <c r="A6" s="7" t="inlineStr">
        <is>
          <t>tx_id</t>
        </is>
      </c>
      <c r="B6" s="7" t="inlineStr">
        <is>
          <t>date</t>
        </is>
      </c>
      <c r="C6" s="7" t="inlineStr">
        <is>
          <t>description</t>
        </is>
      </c>
      <c r="D6" s="7" t="inlineStr">
        <is>
          <t>ref_no</t>
        </is>
      </c>
      <c r="E6" s="7" t="inlineStr">
        <is>
          <t>debit</t>
        </is>
      </c>
      <c r="F6" s="7" t="inlineStr">
        <is>
          <t>credit</t>
        </is>
      </c>
      <c r="G6" s="7" t="inlineStr">
        <is>
          <t>balance</t>
        </is>
      </c>
      <c r="H6" s="7" t="inlineStr">
        <is>
          <t>math_verified</t>
        </is>
      </c>
      <c r="I6" s="7" t="inlineStr">
        <is>
          <t>extraction_method</t>
        </is>
      </c>
      <c r="J6" s="7" t="inlineStr">
        <is>
          <t>category</t>
        </is>
      </c>
      <c r="K6" s="7" t="inlineStr">
        <is>
          <t>tally_ledger</t>
        </is>
      </c>
      <c r="L6" s="7" t="inlineStr">
        <is>
          <t>tally_voucher_type</t>
        </is>
      </c>
      <c r="M6" s="7" t="inlineStr">
        <is>
          <t>confidence</t>
        </is>
      </c>
      <c r="N6" s="7" t="inlineStr">
        <is>
          <t>anomaly_flag</t>
        </is>
      </c>
      <c r="O6" s="7" t="inlineStr">
        <is>
          <t>anomaly_reason</t>
        </is>
      </c>
    </row>
    <row r="7" ht="32" customHeight="1">
      <c r="A7" s="8" t="inlineStr">
        <is>
          <t>1</t>
        </is>
      </c>
      <c r="B7" s="9" t="n">
        <v>46031</v>
      </c>
      <c r="C7" s="10" t="inlineStr">
        <is>
          <t>UPI/DR/4129195088/TATA STARBUCKS/ICIC0 POS Beverage 2219</t>
        </is>
      </c>
      <c r="D7" s="8" t="inlineStr">
        <is>
          <t>4129195088</t>
        </is>
      </c>
      <c r="E7" s="11" t="n">
        <v>8896</v>
      </c>
      <c r="F7" s="11" t="n">
        <v>0</v>
      </c>
      <c r="G7" s="11" t="n">
        <v>1631104</v>
      </c>
      <c r="H7" s="12" t="b">
        <v>1</v>
      </c>
      <c r="I7" s="12" t="inlineStr">
        <is>
          <t>native_grid</t>
        </is>
      </c>
      <c r="J7" s="12" t="inlineStr">
        <is>
          <t>Food &amp; Dining</t>
        </is>
      </c>
      <c r="K7" s="12" t="inlineStr">
        <is>
          <t>Staff Welfare &amp; Food Exp</t>
        </is>
      </c>
      <c r="L7" s="12" t="inlineStr">
        <is>
          <t>Payment</t>
        </is>
      </c>
      <c r="M7" s="11" t="n">
        <v>0.99</v>
      </c>
      <c r="N7" s="12" t="b">
        <v>0</v>
      </c>
      <c r="O7" s="10" t="inlineStr"/>
    </row>
    <row r="8" ht="32" customHeight="1">
      <c r="A8" s="8" t="inlineStr">
        <is>
          <t>2</t>
        </is>
      </c>
      <c r="B8" s="9" t="n">
        <v>46090</v>
      </c>
      <c r="C8" s="10" t="inlineStr">
        <is>
          <t>NEFT/DR/N261998210/APEX LOGISTICS PVT SBIN0004129/INV-2026-881 FREIGHT CHARG</t>
        </is>
      </c>
      <c r="D8" s="8" t="inlineStr">
        <is>
          <t>N261998210</t>
        </is>
      </c>
      <c r="E8" s="11" t="n">
        <v>59000</v>
      </c>
      <c r="F8" s="11" t="n">
        <v>0</v>
      </c>
      <c r="G8" s="11" t="n">
        <v>1572104</v>
      </c>
      <c r="H8" s="12" t="b">
        <v>1</v>
      </c>
      <c r="I8" s="12" t="inlineStr">
        <is>
          <t>native_grid</t>
        </is>
      </c>
      <c r="J8" s="12" t="inlineStr">
        <is>
          <t>Vendor &amp; B2B Transfer</t>
        </is>
      </c>
      <c r="K8" s="12" t="inlineStr">
        <is>
          <t>Apex Logistics A/c</t>
        </is>
      </c>
      <c r="L8" s="12" t="inlineStr">
        <is>
          <t>Payment</t>
        </is>
      </c>
      <c r="M8" s="11" t="n">
        <v>0.99</v>
      </c>
      <c r="N8" s="12" t="b">
        <v>0</v>
      </c>
      <c r="O8" s="10" t="inlineStr"/>
    </row>
    <row r="9" ht="32" customHeight="1">
      <c r="A9" s="8" t="inlineStr">
        <is>
          <t>3</t>
        </is>
      </c>
      <c r="B9" s="9" t="n">
        <v>46090</v>
      </c>
      <c r="C9" s="10" t="inlineStr">
        <is>
          <t>NEFT/DR/N262884129/CLOUDHOST INDIA SER HDFC0001209/BILL-OCT-992 DEDICATED SER UNAUTHORIZED BANDWIDTH OVERAGE SURCHAR</t>
        </is>
      </c>
      <c r="D9" s="8" t="inlineStr">
        <is>
          <t>N262884129</t>
        </is>
      </c>
      <c r="E9" s="11" t="n">
        <v>112100</v>
      </c>
      <c r="F9" s="11" t="n">
        <v>0</v>
      </c>
      <c r="G9" s="11" t="n">
        <v>1460004</v>
      </c>
      <c r="H9" s="12" t="b">
        <v>1</v>
      </c>
      <c r="I9" s="12" t="inlineStr">
        <is>
          <t>native_grid</t>
        </is>
      </c>
      <c r="J9" s="12" t="inlineStr">
        <is>
          <t>Vendor &amp; B2B Transfer</t>
        </is>
      </c>
      <c r="K9" s="12" t="inlineStr">
        <is>
          <t>Cloudhost India A/c</t>
        </is>
      </c>
      <c r="L9" s="12" t="inlineStr">
        <is>
          <t>Payment</t>
        </is>
      </c>
      <c r="M9" s="11" t="n">
        <v>0.99</v>
      </c>
      <c r="N9" s="12" t="b">
        <v>1</v>
      </c>
      <c r="O9" s="10" t="inlineStr">
        <is>
          <t>Vendor overcharge vs contract master; Vendor GST rate/math mismatch</t>
        </is>
      </c>
    </row>
    <row r="10" ht="32" customHeight="1">
      <c r="A10" s="8" t="inlineStr">
        <is>
          <t>4</t>
        </is>
      </c>
      <c r="B10" s="9" t="n">
        <v>46090</v>
      </c>
      <c r="C10" s="10" t="inlineStr">
        <is>
          <t>NEFT/DR/N263771029/SHARMA PACKAGING IN ICIC0000812/PO-4410 CORRUGATED BOX SUP TAX BILLED AT 18 PCT INSTEAD OF CONTRA</t>
        </is>
      </c>
      <c r="D10" s="8" t="inlineStr">
        <is>
          <t>N263771029</t>
        </is>
      </c>
      <c r="E10" s="11" t="n">
        <v>41300</v>
      </c>
      <c r="F10" s="11" t="n">
        <v>0</v>
      </c>
      <c r="G10" s="11" t="n">
        <v>1418704</v>
      </c>
      <c r="H10" s="12" t="b">
        <v>1</v>
      </c>
      <c r="I10" s="12" t="inlineStr">
        <is>
          <t>native_grid</t>
        </is>
      </c>
      <c r="J10" s="12" t="inlineStr">
        <is>
          <t>Vendor &amp; B2B Transfer</t>
        </is>
      </c>
      <c r="K10" s="12" t="inlineStr">
        <is>
          <t>Sharma Packaging A/c</t>
        </is>
      </c>
      <c r="L10" s="12" t="inlineStr">
        <is>
          <t>Contra</t>
        </is>
      </c>
      <c r="M10" s="11" t="n">
        <v>0.99</v>
      </c>
      <c r="N10" s="12" t="b">
        <v>1</v>
      </c>
      <c r="O10" s="10" t="inlineStr">
        <is>
          <t>Vendor overcharge vs contract master; Vendor GST rate/math mismatch</t>
        </is>
      </c>
    </row>
    <row r="11" ht="32" customHeight="1">
      <c r="A11" s="8" t="inlineStr">
        <is>
          <t>5</t>
        </is>
      </c>
      <c r="B11" s="9" t="n">
        <v>46151</v>
      </c>
      <c r="C11" s="10" t="inlineStr">
        <is>
          <t>RTGS/DR/R264991201/METRO POWER INFRAST UTIB0000104/MTHLY DG SET AMNT CONTRACT BRANCH AUTO-SETTLEMENT BATCH MUMBAI MA</t>
        </is>
      </c>
      <c r="D11" s="8" t="inlineStr">
        <is>
          <t>R264991201</t>
        </is>
      </c>
      <c r="E11" s="11" t="n">
        <v>141600</v>
      </c>
      <c r="F11" s="11" t="n">
        <v>0</v>
      </c>
      <c r="G11" s="11" t="n">
        <v>1277104</v>
      </c>
      <c r="H11" s="12" t="b">
        <v>1</v>
      </c>
      <c r="I11" s="12" t="inlineStr">
        <is>
          <t>native_grid</t>
        </is>
      </c>
      <c r="J11" s="12" t="inlineStr">
        <is>
          <t>Vendor &amp; B2B Transfer</t>
        </is>
      </c>
      <c r="K11" s="12" t="inlineStr">
        <is>
          <t>Metro Power A/c</t>
        </is>
      </c>
      <c r="L11" s="12" t="inlineStr">
        <is>
          <t>Contra</t>
        </is>
      </c>
      <c r="M11" s="11" t="n">
        <v>0.99</v>
      </c>
      <c r="N11" s="12" t="b">
        <v>1</v>
      </c>
      <c r="O11" s="10" t="inlineStr">
        <is>
          <t>Statistical high-value outflow outlier</t>
        </is>
      </c>
    </row>
    <row r="12" ht="32" customHeight="1">
      <c r="A12" s="8" t="inlineStr">
        <is>
          <t>6</t>
        </is>
      </c>
      <c r="B12" s="9" t="n">
        <v>46182</v>
      </c>
      <c r="C12" s="10" t="inlineStr">
        <is>
          <t>SMS ALERT CHG Q3</t>
        </is>
      </c>
      <c r="D12" s="8" t="inlineStr">
        <is>
          <t>FEE191694</t>
        </is>
      </c>
      <c r="E12" s="11" t="n">
        <v>17.7</v>
      </c>
      <c r="F12" s="11" t="n">
        <v>0</v>
      </c>
      <c r="G12" s="11" t="n">
        <v>1277086.3</v>
      </c>
      <c r="H12" s="12" t="b">
        <v>1</v>
      </c>
      <c r="I12" s="12" t="inlineStr">
        <is>
          <t>native_grid</t>
        </is>
      </c>
      <c r="J12" s="12" t="inlineStr">
        <is>
          <t>Bank Charges &amp; Hidden Fees</t>
        </is>
      </c>
      <c r="K12" s="12" t="inlineStr">
        <is>
          <t>Bank Charges A/c</t>
        </is>
      </c>
      <c r="L12" s="12" t="inlineStr">
        <is>
          <t>Payment</t>
        </is>
      </c>
      <c r="M12" s="11" t="n">
        <v>0.99</v>
      </c>
      <c r="N12" s="12" t="b">
        <v>1</v>
      </c>
      <c r="O12" s="10" t="inlineStr">
        <is>
          <t>Hidden bank fee / penalty charge</t>
        </is>
      </c>
    </row>
    <row r="13" ht="32" customHeight="1">
      <c r="A13" s="8" t="inlineStr">
        <is>
          <t>7</t>
        </is>
      </c>
      <c r="B13" s="9" t="n">
        <v>46182</v>
      </c>
      <c r="C13" s="10" t="inlineStr">
        <is>
          <t>UPI/DR/4129198735/UBER INDIA SYST/ KKBK0000912/Trip Ride 10942/MUMBAI AUTH-REF-66272 VERIFIED</t>
        </is>
      </c>
      <c r="D13" s="8" t="inlineStr">
        <is>
          <t>4129198735</t>
        </is>
      </c>
      <c r="E13" s="11" t="n">
        <v>7144.75</v>
      </c>
      <c r="F13" s="11" t="n">
        <v>0</v>
      </c>
      <c r="G13" s="11" t="n">
        <v>1269941.55</v>
      </c>
      <c r="H13" s="12" t="b">
        <v>1</v>
      </c>
      <c r="I13" s="12" t="inlineStr">
        <is>
          <t>native_grid</t>
        </is>
      </c>
      <c r="J13" s="12" t="inlineStr">
        <is>
          <t>Travel &amp; Commute</t>
        </is>
      </c>
      <c r="K13" s="12" t="inlineStr">
        <is>
          <t>Travelling &amp; Conveyance Exp</t>
        </is>
      </c>
      <c r="L13" s="12" t="inlineStr">
        <is>
          <t>Payment</t>
        </is>
      </c>
      <c r="M13" s="11" t="n">
        <v>0.99</v>
      </c>
      <c r="N13" s="12" t="b">
        <v>0</v>
      </c>
      <c r="O13" s="10" t="inlineStr"/>
    </row>
    <row r="14" ht="32" customHeight="1">
      <c r="A14" s="8" t="inlineStr">
        <is>
          <t>8</t>
        </is>
      </c>
      <c r="B14" s="9" t="n">
        <v>46243</v>
      </c>
      <c r="C14" s="10" t="inlineStr">
        <is>
          <t>UPI/DR/4129917245/PHARMEASY HEALTH/YES Med Order 55210</t>
        </is>
      </c>
      <c r="D14" s="8" t="inlineStr">
        <is>
          <t>4129917245</t>
        </is>
      </c>
      <c r="E14" s="11" t="n">
        <v>3694.5</v>
      </c>
      <c r="F14" s="11" t="n">
        <v>0</v>
      </c>
      <c r="G14" s="11" t="n">
        <v>1266247.05</v>
      </c>
      <c r="H14" s="12" t="b">
        <v>1</v>
      </c>
      <c r="I14" s="12" t="inlineStr">
        <is>
          <t>native_grid</t>
        </is>
      </c>
      <c r="J14" s="12" t="inlineStr">
        <is>
          <t>Shopping &amp; E-Commerce</t>
        </is>
      </c>
      <c r="K14" s="12" t="inlineStr">
        <is>
          <t>Office Maintenance &amp; Supplies Exp</t>
        </is>
      </c>
      <c r="L14" s="12" t="inlineStr">
        <is>
          <t>Payment</t>
        </is>
      </c>
      <c r="M14" s="11" t="n">
        <v>0.99</v>
      </c>
      <c r="N14" s="12" t="b">
        <v>0</v>
      </c>
      <c r="O14" s="10" t="inlineStr"/>
    </row>
    <row r="15" ht="32" customHeight="1">
      <c r="A15" s="8" t="inlineStr">
        <is>
          <t>9</t>
        </is>
      </c>
      <c r="B15" s="9" t="n">
        <v>46304</v>
      </c>
      <c r="C15" s="10" t="inlineStr">
        <is>
          <t>UPI/DR/4129819113/UBER INDIA SYST/KKBK Trip Ride 10942</t>
        </is>
      </c>
      <c r="D15" s="8" t="inlineStr">
        <is>
          <t>4129819113</t>
        </is>
      </c>
      <c r="E15" s="11" t="n">
        <v>3406.75</v>
      </c>
      <c r="F15" s="11" t="n">
        <v>0</v>
      </c>
      <c r="G15" s="11" t="n">
        <v>1262840.3</v>
      </c>
      <c r="H15" s="12" t="b">
        <v>1</v>
      </c>
      <c r="I15" s="12" t="inlineStr">
        <is>
          <t>native_grid</t>
        </is>
      </c>
      <c r="J15" s="12" t="inlineStr">
        <is>
          <t>Travel &amp; Commute</t>
        </is>
      </c>
      <c r="K15" s="12" t="inlineStr">
        <is>
          <t>Travelling &amp; Conveyance Exp</t>
        </is>
      </c>
      <c r="L15" s="12" t="inlineStr">
        <is>
          <t>Payment</t>
        </is>
      </c>
      <c r="M15" s="11" t="n">
        <v>0.99</v>
      </c>
      <c r="N15" s="12" t="b">
        <v>0</v>
      </c>
      <c r="O15" s="10" t="inlineStr"/>
    </row>
    <row r="16" ht="32" customHeight="1">
      <c r="A16" s="8" t="inlineStr">
        <is>
          <t>10</t>
        </is>
      </c>
      <c r="B16" s="9" t="n">
        <v>46304</v>
      </c>
      <c r="C16" s="10" t="inlineStr">
        <is>
          <t>IMPS/CR/428519902112 CLIENT RETENTION MILESTONE/ICIC REMARKS: INV SETTLEMENT BATCH 414</t>
        </is>
      </c>
      <c r="D16" s="8" t="inlineStr">
        <is>
          <t>CR643553361</t>
        </is>
      </c>
      <c r="E16" s="11" t="n">
        <v>0</v>
      </c>
      <c r="F16" s="11" t="n">
        <v>64579</v>
      </c>
      <c r="G16" s="11" t="n">
        <v>1327419.3</v>
      </c>
      <c r="H16" s="12" t="b">
        <v>1</v>
      </c>
      <c r="I16" s="12" t="inlineStr">
        <is>
          <t>native_grid</t>
        </is>
      </c>
      <c r="J16" s="12" t="inlineStr">
        <is>
          <t>Salary &amp; Income</t>
        </is>
      </c>
      <c r="K16" s="12" t="inlineStr">
        <is>
          <t>Sales &amp; Operating Revenue A/c</t>
        </is>
      </c>
      <c r="L16" s="12" t="inlineStr">
        <is>
          <t>Receipt</t>
        </is>
      </c>
      <c r="M16" s="11" t="n">
        <v>0.99</v>
      </c>
      <c r="N16" s="12" t="b">
        <v>0</v>
      </c>
      <c r="O16" s="10" t="inlineStr"/>
    </row>
    <row r="17" ht="32" customHeight="1">
      <c r="A17" s="8" t="inlineStr">
        <is>
          <t>11</t>
        </is>
      </c>
      <c r="B17" s="9" t="n">
        <v>46304</v>
      </c>
      <c r="C17" s="10" t="inlineStr">
        <is>
          <t>NEFT/CR/N289100441 RAZORPAY SOFTWARE PVT LTD/SETTLEMENT REMARKS: INV SETTLEMENT BATCH 216</t>
        </is>
      </c>
      <c r="D17" s="8" t="inlineStr">
        <is>
          <t>CR567638098</t>
        </is>
      </c>
      <c r="E17" s="11" t="n">
        <v>0</v>
      </c>
      <c r="F17" s="11" t="n">
        <v>146653</v>
      </c>
      <c r="G17" s="11" t="n">
        <v>1474072.3</v>
      </c>
      <c r="H17" s="12" t="b">
        <v>1</v>
      </c>
      <c r="I17" s="12" t="inlineStr">
        <is>
          <t>native_grid</t>
        </is>
      </c>
      <c r="J17" s="12" t="inlineStr">
        <is>
          <t>Salary &amp; Income</t>
        </is>
      </c>
      <c r="K17" s="12" t="inlineStr">
        <is>
          <t>Sales &amp; Operating Revenue A/c</t>
        </is>
      </c>
      <c r="L17" s="12" t="inlineStr">
        <is>
          <t>Receipt</t>
        </is>
      </c>
      <c r="M17" s="11" t="n">
        <v>0.99</v>
      </c>
      <c r="N17" s="12" t="b">
        <v>0</v>
      </c>
      <c r="O17" s="10" t="inlineStr"/>
    </row>
    <row r="18" ht="32" customHeight="1">
      <c r="A18" s="8" t="inlineStr">
        <is>
          <t>12</t>
        </is>
      </c>
      <c r="B18" s="9" t="n">
        <v>46335</v>
      </c>
      <c r="C18" s="10" t="inlineStr">
        <is>
          <t>MIN BAL PENALTY</t>
        </is>
      </c>
      <c r="D18" s="8" t="inlineStr">
        <is>
          <t>FEE525554</t>
        </is>
      </c>
      <c r="E18" s="11" t="n">
        <v>590</v>
      </c>
      <c r="F18" s="11" t="n">
        <v>0</v>
      </c>
      <c r="G18" s="11" t="n">
        <v>1473482.3</v>
      </c>
      <c r="H18" s="12" t="b">
        <v>1</v>
      </c>
      <c r="I18" s="12" t="inlineStr">
        <is>
          <t>native_grid</t>
        </is>
      </c>
      <c r="J18" s="12" t="inlineStr">
        <is>
          <t>Bank Charges &amp; Hidden Fees</t>
        </is>
      </c>
      <c r="K18" s="12" t="inlineStr">
        <is>
          <t>Bank Charges A/c</t>
        </is>
      </c>
      <c r="L18" s="12" t="inlineStr">
        <is>
          <t>Payment</t>
        </is>
      </c>
      <c r="M18" s="11" t="n">
        <v>0.99</v>
      </c>
      <c r="N18" s="12" t="b">
        <v>1</v>
      </c>
      <c r="O18" s="10" t="inlineStr">
        <is>
          <t>Hidden bank fee / penalty charge</t>
        </is>
      </c>
    </row>
    <row r="19" ht="32" customHeight="1">
      <c r="A19" s="8" t="inlineStr">
        <is>
          <t>13</t>
        </is>
      </c>
      <c r="B19" s="9" t="n">
        <v>46335</v>
      </c>
      <c r="C19" s="10" t="inlineStr">
        <is>
          <t>UPI/DR/428719928311/SWIGGY INSTAMART HDFC0000123/Order 99812/Instant</t>
        </is>
      </c>
      <c r="D19" s="8" t="inlineStr">
        <is>
          <t>428719928311</t>
        </is>
      </c>
      <c r="E19" s="11" t="n">
        <v>2450</v>
      </c>
      <c r="F19" s="11" t="n">
        <v>0</v>
      </c>
      <c r="G19" s="11" t="n">
        <v>1471032.3</v>
      </c>
      <c r="H19" s="12" t="b">
        <v>1</v>
      </c>
      <c r="I19" s="12" t="inlineStr">
        <is>
          <t>native_grid</t>
        </is>
      </c>
      <c r="J19" s="12" t="inlineStr">
        <is>
          <t>Groceries &amp; Quick-Commerce</t>
        </is>
      </c>
      <c r="K19" s="12" t="inlineStr">
        <is>
          <t>Office Pantry &amp; Consumables A/c</t>
        </is>
      </c>
      <c r="L19" s="12" t="inlineStr">
        <is>
          <t>Payment</t>
        </is>
      </c>
      <c r="M19" s="11" t="n">
        <v>0.99</v>
      </c>
      <c r="N19" s="12" t="b">
        <v>0</v>
      </c>
      <c r="O19" s="10" t="inlineStr"/>
    </row>
    <row r="20" ht="32" customHeight="1">
      <c r="A20" s="8" t="inlineStr">
        <is>
          <t>14</t>
        </is>
      </c>
      <c r="B20" s="9" t="n">
        <v>46335</v>
      </c>
      <c r="C20" s="10" t="inlineStr">
        <is>
          <t>UPI/DR/428719928311/SWIGGY INSTAMART HDFC0000123/Order 99812/Instant</t>
        </is>
      </c>
      <c r="D20" s="8" t="inlineStr">
        <is>
          <t>428719928311</t>
        </is>
      </c>
      <c r="E20" s="11" t="n">
        <v>2450</v>
      </c>
      <c r="F20" s="11" t="n">
        <v>0</v>
      </c>
      <c r="G20" s="11" t="n">
        <v>1468582.3</v>
      </c>
      <c r="H20" s="12" t="b">
        <v>1</v>
      </c>
      <c r="I20" s="12" t="inlineStr">
        <is>
          <t>native_grid</t>
        </is>
      </c>
      <c r="J20" s="12" t="inlineStr">
        <is>
          <t>Groceries &amp; Quick-Commerce</t>
        </is>
      </c>
      <c r="K20" s="12" t="inlineStr">
        <is>
          <t>Office Pantry &amp; Consumables A/c</t>
        </is>
      </c>
      <c r="L20" s="12" t="inlineStr">
        <is>
          <t>Payment</t>
        </is>
      </c>
      <c r="M20" s="11" t="n">
        <v>0.99</v>
      </c>
      <c r="N20" s="12" t="b">
        <v>1</v>
      </c>
      <c r="O20" s="10" t="inlineStr">
        <is>
          <t>Duplicate debit charge detected</t>
        </is>
      </c>
    </row>
    <row r="21" ht="32" customHeight="1">
      <c r="A21" s="8" t="inlineStr">
        <is>
          <t>15</t>
        </is>
      </c>
      <c r="B21" s="9" t="n">
        <v>46335</v>
      </c>
      <c r="C21" s="10" t="inlineStr">
        <is>
          <t>IMPS CONVENIENCE FEE</t>
        </is>
      </c>
      <c r="D21" s="8" t="inlineStr">
        <is>
          <t>FEE103408</t>
        </is>
      </c>
      <c r="E21" s="11" t="n">
        <v>5.9</v>
      </c>
      <c r="F21" s="11" t="n">
        <v>0</v>
      </c>
      <c r="G21" s="11" t="n">
        <v>1468576.4</v>
      </c>
      <c r="H21" s="12" t="b">
        <v>1</v>
      </c>
      <c r="I21" s="12" t="inlineStr">
        <is>
          <t>native_grid</t>
        </is>
      </c>
      <c r="J21" s="12" t="inlineStr">
        <is>
          <t>Bank Charges &amp; Hidden Fees</t>
        </is>
      </c>
      <c r="K21" s="12" t="inlineStr">
        <is>
          <t>Bank Charges A/c</t>
        </is>
      </c>
      <c r="L21" s="12" t="inlineStr">
        <is>
          <t>Payment</t>
        </is>
      </c>
      <c r="M21" s="11" t="n">
        <v>0.99</v>
      </c>
      <c r="N21" s="12" t="b">
        <v>1</v>
      </c>
      <c r="O21" s="10" t="inlineStr">
        <is>
          <t>Hidden bank fee / penalty charge</t>
        </is>
      </c>
    </row>
    <row r="22" ht="32" customHeight="1">
      <c r="A22" s="8" t="inlineStr">
        <is>
          <t>16</t>
        </is>
      </c>
      <c r="B22" s="9" t="n">
        <v>46335</v>
      </c>
      <c r="C22" s="10" t="inlineStr">
        <is>
          <t>UPI/DR/4129783274/UBER INDIA SYST/KKBK Trip Ride 10942</t>
        </is>
      </c>
      <c r="D22" s="8" t="inlineStr">
        <is>
          <t>4129783274</t>
        </is>
      </c>
      <c r="E22" s="11" t="n">
        <v>3465.75</v>
      </c>
      <c r="F22" s="11" t="n">
        <v>0</v>
      </c>
      <c r="G22" s="11" t="n">
        <v>1465110.65</v>
      </c>
      <c r="H22" s="12" t="b">
        <v>1</v>
      </c>
      <c r="I22" s="12" t="inlineStr">
        <is>
          <t>native_grid</t>
        </is>
      </c>
      <c r="J22" s="12" t="inlineStr">
        <is>
          <t>Travel &amp; Commute</t>
        </is>
      </c>
      <c r="K22" s="12" t="inlineStr">
        <is>
          <t>Travelling &amp; Conveyance Exp</t>
        </is>
      </c>
      <c r="L22" s="12" t="inlineStr">
        <is>
          <t>Payment</t>
        </is>
      </c>
      <c r="M22" s="11" t="n">
        <v>0.99</v>
      </c>
      <c r="N22" s="12" t="b">
        <v>0</v>
      </c>
      <c r="O22" s="10" t="inlineStr"/>
    </row>
    <row r="23" ht="32" customHeight="1">
      <c r="A23" s="8" t="inlineStr">
        <is>
          <t>17</t>
        </is>
      </c>
      <c r="B23" s="9" t="n">
        <v>46278</v>
      </c>
      <c r="C23" s="10" t="inlineStr">
        <is>
          <t>INT.PD:01-07-2026 TO 30-09-2026 CREDIT CORP PAYOUT REMARKS: INV SETTLEMENT BATCH 539</t>
        </is>
      </c>
      <c r="D23" s="8" t="inlineStr">
        <is>
          <t>CR381696762</t>
        </is>
      </c>
      <c r="E23" s="11" t="n">
        <v>0</v>
      </c>
      <c r="F23" s="11" t="n">
        <v>5000</v>
      </c>
      <c r="G23" s="11" t="n">
        <v>1470110.65</v>
      </c>
      <c r="H23" s="12" t="b">
        <v>1</v>
      </c>
      <c r="I23" s="12" t="inlineStr">
        <is>
          <t>native_grid</t>
        </is>
      </c>
      <c r="J23" s="12" t="inlineStr">
        <is>
          <t>Salary &amp; Income</t>
        </is>
      </c>
      <c r="K23" s="12" t="inlineStr">
        <is>
          <t>Sales &amp; Operating Revenue A/c</t>
        </is>
      </c>
      <c r="L23" s="12" t="inlineStr">
        <is>
          <t>Receipt</t>
        </is>
      </c>
      <c r="M23" s="11" t="n">
        <v>0.99</v>
      </c>
      <c r="N23" s="12" t="b">
        <v>0</v>
      </c>
      <c r="O23" s="10" t="inlineStr"/>
    </row>
    <row r="24" ht="32" customHeight="1">
      <c r="A24" s="8" t="inlineStr">
        <is>
          <t>18</t>
        </is>
      </c>
      <c r="B24" s="9" t="n">
        <v>46278</v>
      </c>
      <c r="C24" s="10" t="inlineStr">
        <is>
          <t>UPI/DR/4129271444/AMAZON PAY INDIA/SBI Marketplace Ref 8812</t>
        </is>
      </c>
      <c r="D24" s="8" t="inlineStr">
        <is>
          <t>4129271444</t>
        </is>
      </c>
      <c r="E24" s="11" t="n">
        <v>6901.25</v>
      </c>
      <c r="F24" s="11" t="n">
        <v>0</v>
      </c>
      <c r="G24" s="11" t="n">
        <v>1463209.4</v>
      </c>
      <c r="H24" s="12" t="b">
        <v>1</v>
      </c>
      <c r="I24" s="12" t="inlineStr">
        <is>
          <t>native_grid</t>
        </is>
      </c>
      <c r="J24" s="12" t="inlineStr">
        <is>
          <t>Shopping &amp; E-Commerce</t>
        </is>
      </c>
      <c r="K24" s="12" t="inlineStr">
        <is>
          <t>Office Maintenance &amp; Supplies Exp</t>
        </is>
      </c>
      <c r="L24" s="12" t="inlineStr">
        <is>
          <t>Payment</t>
        </is>
      </c>
      <c r="M24" s="11" t="n">
        <v>0.99</v>
      </c>
      <c r="N24" s="12" t="b">
        <v>0</v>
      </c>
      <c r="O24" s="10" t="inlineStr"/>
    </row>
    <row r="25" ht="32" customHeight="1">
      <c r="A25" s="8" t="inlineStr">
        <is>
          <t>19</t>
        </is>
      </c>
      <c r="B25" s="9" t="n">
        <v>46279</v>
      </c>
      <c r="C25" s="10" t="inlineStr">
        <is>
          <t>UPI/DR/4129200524/ZOMATO LIMITED/ICIC0 Food Order 77410</t>
        </is>
      </c>
      <c r="D25" s="8" t="inlineStr">
        <is>
          <t>4129200524</t>
        </is>
      </c>
      <c r="E25" s="11" t="n">
        <v>1665.25</v>
      </c>
      <c r="F25" s="11" t="n">
        <v>0</v>
      </c>
      <c r="G25" s="11" t="n">
        <v>1461544.15</v>
      </c>
      <c r="H25" s="12" t="b">
        <v>1</v>
      </c>
      <c r="I25" s="12" t="inlineStr">
        <is>
          <t>native_grid</t>
        </is>
      </c>
      <c r="J25" s="12" t="inlineStr">
        <is>
          <t>Food &amp; Dining</t>
        </is>
      </c>
      <c r="K25" s="12" t="inlineStr">
        <is>
          <t>Staff Welfare &amp; Food Exp</t>
        </is>
      </c>
      <c r="L25" s="12" t="inlineStr">
        <is>
          <t>Payment</t>
        </is>
      </c>
      <c r="M25" s="11" t="n">
        <v>0.99</v>
      </c>
      <c r="N25" s="12" t="b">
        <v>0</v>
      </c>
      <c r="O25" s="10" t="inlineStr"/>
    </row>
    <row r="26" ht="32" customHeight="1">
      <c r="A26" s="8" t="inlineStr">
        <is>
          <t>20</t>
        </is>
      </c>
      <c r="B26" s="9" t="n">
        <v>46279</v>
      </c>
      <c r="C26" s="10" t="inlineStr">
        <is>
          <t>INT.PD:01-07-2026 TO 30-09-2026 CREDIT</t>
        </is>
      </c>
      <c r="D26" s="8" t="inlineStr">
        <is>
          <t>CR950063062</t>
        </is>
      </c>
      <c r="E26" s="11" t="n">
        <v>0</v>
      </c>
      <c r="F26" s="11" t="n">
        <v>5849</v>
      </c>
      <c r="G26" s="11" t="n">
        <v>1467393.15</v>
      </c>
      <c r="H26" s="12" t="b">
        <v>1</v>
      </c>
      <c r="I26" s="12" t="inlineStr">
        <is>
          <t>native_grid</t>
        </is>
      </c>
      <c r="J26" s="12" t="inlineStr">
        <is>
          <t>Salary &amp; Income</t>
        </is>
      </c>
      <c r="K26" s="12" t="inlineStr">
        <is>
          <t>Sales &amp; Operating Revenue A/c</t>
        </is>
      </c>
      <c r="L26" s="12" t="inlineStr">
        <is>
          <t>Receipt</t>
        </is>
      </c>
      <c r="M26" s="11" t="n">
        <v>0.99</v>
      </c>
      <c r="N26" s="12" t="b">
        <v>0</v>
      </c>
      <c r="O26" s="10" t="inlineStr"/>
    </row>
    <row r="27" ht="32" customHeight="1">
      <c r="A27" s="8" t="inlineStr">
        <is>
          <t>21</t>
        </is>
      </c>
      <c r="B27" s="9" t="n">
        <v>46281</v>
      </c>
      <c r="C27" s="10" t="inlineStr">
        <is>
          <t>ACH/CR/TECHFLOW CLIENT INVOICE 2026-09</t>
        </is>
      </c>
      <c r="D27" s="8" t="inlineStr">
        <is>
          <t>CR663551161</t>
        </is>
      </c>
      <c r="E27" s="11" t="n">
        <v>0</v>
      </c>
      <c r="F27" s="11" t="n">
        <v>211409</v>
      </c>
      <c r="G27" s="11" t="n">
        <v>1678802.15</v>
      </c>
      <c r="H27" s="12" t="b">
        <v>1</v>
      </c>
      <c r="I27" s="12" t="inlineStr">
        <is>
          <t>native_grid</t>
        </is>
      </c>
      <c r="J27" s="12" t="inlineStr">
        <is>
          <t>Salary &amp; Income</t>
        </is>
      </c>
      <c r="K27" s="12" t="inlineStr">
        <is>
          <t>Sales &amp; Operating Revenue A/c</t>
        </is>
      </c>
      <c r="L27" s="12" t="inlineStr">
        <is>
          <t>Receipt</t>
        </is>
      </c>
      <c r="M27" s="11" t="n">
        <v>0.99</v>
      </c>
      <c r="N27" s="12" t="b">
        <v>0</v>
      </c>
      <c r="O27" s="10" t="inlineStr"/>
    </row>
    <row r="28" ht="32" customHeight="1">
      <c r="A28" s="8" t="inlineStr">
        <is>
          <t>22</t>
        </is>
      </c>
      <c r="B28" s="9" t="n">
        <v>46281</v>
      </c>
      <c r="C28" s="10" t="inlineStr">
        <is>
          <t>DEBIT CARD ANNUAL FEE</t>
        </is>
      </c>
      <c r="D28" s="8" t="inlineStr">
        <is>
          <t>FEE642952</t>
        </is>
      </c>
      <c r="E28" s="11" t="n">
        <v>590</v>
      </c>
      <c r="F28" s="11" t="n">
        <v>0</v>
      </c>
      <c r="G28" s="11" t="n">
        <v>1678212.15</v>
      </c>
      <c r="H28" s="12" t="b">
        <v>1</v>
      </c>
      <c r="I28" s="12" t="inlineStr">
        <is>
          <t>native_grid</t>
        </is>
      </c>
      <c r="J28" s="12" t="inlineStr">
        <is>
          <t>Bank Charges &amp; Hidden Fees</t>
        </is>
      </c>
      <c r="K28" s="12" t="inlineStr">
        <is>
          <t>Bank Charges A/c</t>
        </is>
      </c>
      <c r="L28" s="12" t="inlineStr">
        <is>
          <t>Payment</t>
        </is>
      </c>
      <c r="M28" s="11" t="n">
        <v>0.99</v>
      </c>
      <c r="N28" s="12" t="b">
        <v>1</v>
      </c>
      <c r="O28" s="10" t="inlineStr">
        <is>
          <t>Hidden bank fee / penalty charge</t>
        </is>
      </c>
    </row>
    <row r="29" ht="32" customHeight="1">
      <c r="A29" s="8" t="inlineStr">
        <is>
          <t>23</t>
        </is>
      </c>
      <c r="B29" s="9" t="n">
        <v>46283</v>
      </c>
      <c r="C29" s="10" t="inlineStr">
        <is>
          <t>UPI/DR/4129481886/UBER INDIA SYST/KKBK Trip Ride 10942</t>
        </is>
      </c>
      <c r="D29" s="8" t="inlineStr">
        <is>
          <t>4129481886</t>
        </is>
      </c>
      <c r="E29" s="11" t="n">
        <v>1518.75</v>
      </c>
      <c r="F29" s="11" t="n">
        <v>0</v>
      </c>
      <c r="G29" s="11" t="n">
        <v>1676693.4</v>
      </c>
      <c r="H29" s="12" t="b">
        <v>1</v>
      </c>
      <c r="I29" s="12" t="inlineStr">
        <is>
          <t>native_grid</t>
        </is>
      </c>
      <c r="J29" s="12" t="inlineStr">
        <is>
          <t>Travel &amp; Commute</t>
        </is>
      </c>
      <c r="K29" s="12" t="inlineStr">
        <is>
          <t>Travelling &amp; Conveyance Exp</t>
        </is>
      </c>
      <c r="L29" s="12" t="inlineStr">
        <is>
          <t>Payment</t>
        </is>
      </c>
      <c r="M29" s="11" t="n">
        <v>0.99</v>
      </c>
      <c r="N29" s="12" t="b">
        <v>0</v>
      </c>
      <c r="O29" s="10" t="inlineStr"/>
    </row>
    <row r="30" ht="32" customHeight="1">
      <c r="A30" s="8" t="inlineStr">
        <is>
          <t>24</t>
        </is>
      </c>
      <c r="B30" s="9" t="n">
        <v>46285</v>
      </c>
      <c r="C30" s="10" t="inlineStr">
        <is>
          <t>INT.PD:01-07-2026 TO 30-09-2026 CREDIT</t>
        </is>
      </c>
      <c r="D30" s="8" t="inlineStr">
        <is>
          <t>CR948830325</t>
        </is>
      </c>
      <c r="E30" s="11" t="n">
        <v>0</v>
      </c>
      <c r="F30" s="11" t="n">
        <v>5291</v>
      </c>
      <c r="G30" s="11" t="n">
        <v>1681984.4</v>
      </c>
      <c r="H30" s="12" t="b">
        <v>1</v>
      </c>
      <c r="I30" s="12" t="inlineStr">
        <is>
          <t>native_grid</t>
        </is>
      </c>
      <c r="J30" s="12" t="inlineStr">
        <is>
          <t>Salary &amp; Income</t>
        </is>
      </c>
      <c r="K30" s="12" t="inlineStr">
        <is>
          <t>Sales &amp; Operating Revenue A/c</t>
        </is>
      </c>
      <c r="L30" s="12" t="inlineStr">
        <is>
          <t>Receipt</t>
        </is>
      </c>
      <c r="M30" s="11" t="n">
        <v>0.99</v>
      </c>
      <c r="N30" s="12" t="b">
        <v>0</v>
      </c>
      <c r="O30" s="10" t="inlineStr"/>
    </row>
    <row r="31" ht="32" customHeight="1">
      <c r="A31" s="8" t="inlineStr">
        <is>
          <t>25</t>
        </is>
      </c>
      <c r="B31" s="9" t="n">
        <v>46285</v>
      </c>
      <c r="C31" s="10" t="inlineStr">
        <is>
          <t>UPI/DR/4129115217/TATA STARBUCKS/ ICIC0000229/POS Beverage 2219/MUMBAI AUTH-REF-85515 VERIFIED</t>
        </is>
      </c>
      <c r="D31" s="8" t="inlineStr">
        <is>
          <t>4129115217</t>
        </is>
      </c>
      <c r="E31" s="11" t="n">
        <v>3260.5</v>
      </c>
      <c r="F31" s="11" t="n">
        <v>0</v>
      </c>
      <c r="G31" s="11" t="n">
        <v>1678723.9</v>
      </c>
      <c r="H31" s="12" t="b">
        <v>1</v>
      </c>
      <c r="I31" s="12" t="inlineStr">
        <is>
          <t>native_grid</t>
        </is>
      </c>
      <c r="J31" s="12" t="inlineStr">
        <is>
          <t>Food &amp; Dining</t>
        </is>
      </c>
      <c r="K31" s="12" t="inlineStr">
        <is>
          <t>Staff Welfare &amp; Food Exp</t>
        </is>
      </c>
      <c r="L31" s="12" t="inlineStr">
        <is>
          <t>Payment</t>
        </is>
      </c>
      <c r="M31" s="11" t="n">
        <v>0.99</v>
      </c>
      <c r="N31" s="12" t="b">
        <v>0</v>
      </c>
      <c r="O31" s="10" t="inlineStr"/>
    </row>
  </sheetData>
  <autoFilter ref="A6:O31"/>
  <mergeCells count="16">
    <mergeCell ref="A4:B4"/>
    <mergeCell ref="G4:H4"/>
    <mergeCell ref="E4:F4"/>
    <mergeCell ref="I4:J4"/>
    <mergeCell ref="A2:O2"/>
    <mergeCell ref="M4:N4"/>
    <mergeCell ref="I3:J3"/>
    <mergeCell ref="A1:O1"/>
    <mergeCell ref="M3:N3"/>
    <mergeCell ref="K4:L4"/>
    <mergeCell ref="C3:D3"/>
    <mergeCell ref="A3:B3"/>
    <mergeCell ref="G3:H3"/>
    <mergeCell ref="E3:F3"/>
    <mergeCell ref="K3:L3"/>
    <mergeCell ref="C4:D4"/>
  </mergeCells>
  <conditionalFormatting sqref="A7:O31">
    <cfRule type="expression" priority="1" dxfId="0" stopIfTrue="1">
      <formula>$N7=TRUE</formula>
    </cfRule>
    <cfRule type="expression" priority="2" dxfId="1" stopIfTrue="1">
      <formula>AND($A7&lt;&gt;"",$H7=FALSE)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&amp;C&amp;9 VaultSheet | Page &amp;P of &amp;N&amp;RConfidential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2657A"/>
    <outlinePr summaryBelow="1" summaryRight="0"/>
    <pageSetUpPr fitToPage="1"/>
  </sheetPr>
  <dimension ref="A1:G52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3" customWidth="1" min="1" max="1"/>
    <col width="38" customWidth="1" min="2" max="2"/>
    <col width="24" customWidth="1" min="3" max="3"/>
    <col width="24" customWidth="1" min="4" max="4"/>
    <col width="24" customWidth="1" min="5" max="5"/>
    <col width="24" customWidth="1" min="6" max="6"/>
    <col width="3" customWidth="1" min="7" max="7"/>
  </cols>
  <sheetData>
    <row r="1" ht="36" customHeight="1">
      <c r="A1" s="1" t="inlineStr">
        <is>
          <t>VAULTSHEET — EXECUTIVE SUMMARY</t>
        </is>
      </c>
      <c r="B1" s="2" t="n"/>
      <c r="C1" s="2" t="n"/>
      <c r="D1" s="2" t="n"/>
      <c r="E1" s="2" t="n"/>
      <c r="F1" s="2" t="n"/>
      <c r="G1" s="3" t="n"/>
    </row>
    <row r="2" ht="27" customHeight="1">
      <c r="A2" s="4" t="inlineStr">
        <is>
          <t>Live Excel formulas | INR | Audit metrics reference the supplied audit snapshot</t>
        </is>
      </c>
      <c r="B2" s="2" t="n"/>
      <c r="C2" s="2" t="n"/>
      <c r="D2" s="2" t="n"/>
      <c r="E2" s="2" t="n"/>
      <c r="F2" s="2" t="n"/>
      <c r="G2" s="3" t="n"/>
    </row>
    <row r="5" ht="27" customHeight="1">
      <c r="B5" s="7" t="inlineStr">
        <is>
          <t>A  |  CATEGORY CASH FLOW</t>
        </is>
      </c>
      <c r="C5" s="2" t="n"/>
      <c r="D5" s="2" t="n"/>
      <c r="E5" s="2" t="n"/>
      <c r="F5" s="3" t="n"/>
    </row>
    <row r="6" ht="34" customHeight="1">
      <c r="B6" s="7" t="inlineStr">
        <is>
          <t>Category</t>
        </is>
      </c>
      <c r="C6" s="7" t="inlineStr">
        <is>
          <t>Tx Count</t>
        </is>
      </c>
      <c r="D6" s="7" t="inlineStr">
        <is>
          <t>Total Spend (Debit)</t>
        </is>
      </c>
      <c r="E6" s="7" t="inlineStr">
        <is>
          <t>Total Inflow (Credit)</t>
        </is>
      </c>
      <c r="F6" s="7" t="inlineStr">
        <is>
          <t>% of Spend</t>
        </is>
      </c>
    </row>
    <row r="7">
      <c r="B7" s="12" t="inlineStr">
        <is>
          <t>Revenue</t>
        </is>
      </c>
      <c r="C7" s="13">
        <f>COUNTIFS('Clean_Ledger'!$J$7:$J$31,SUBSTITUTE(SUBSTITUTE(SUBSTITUTE(B7,"~","~~"),"*","~*"),"?","~?"))</f>
        <v/>
      </c>
      <c r="D7" s="14">
        <f>SUMIFS('Clean_Ledger'!$E$7:$E$31,'Clean_Ledger'!$J$7:$J$31,SUBSTITUTE(SUBSTITUTE(SUBSTITUTE(B7,"~","~~"),"*","~*"),"?","~?"))</f>
        <v/>
      </c>
      <c r="E7" s="14">
        <f>SUMIFS('Clean_Ledger'!$F$7:$F$31,'Clean_Ledger'!$J$7:$J$31,SUBSTITUTE(SUBSTITUTE(SUBSTITUTE(B7,"~","~~"),"*","~*"),"?","~?"))</f>
        <v/>
      </c>
      <c r="F7" s="15">
        <f>IFERROR(D7/SUM('Clean_Ledger'!$E$7:$E$31),0)</f>
        <v/>
      </c>
    </row>
    <row r="8">
      <c r="B8" s="12" t="inlineStr">
        <is>
          <t>Vendor Payments</t>
        </is>
      </c>
      <c r="C8" s="13">
        <f>COUNTIFS('Clean_Ledger'!$J$7:$J$31,SUBSTITUTE(SUBSTITUTE(SUBSTITUTE(B8,"~","~~"),"*","~*"),"?","~?"))</f>
        <v/>
      </c>
      <c r="D8" s="14">
        <f>SUMIFS('Clean_Ledger'!$E$7:$E$31,'Clean_Ledger'!$J$7:$J$31,SUBSTITUTE(SUBSTITUTE(SUBSTITUTE(B8,"~","~~"),"*","~*"),"?","~?"))</f>
        <v/>
      </c>
      <c r="E8" s="14">
        <f>SUMIFS('Clean_Ledger'!$F$7:$F$31,'Clean_Ledger'!$J$7:$J$31,SUBSTITUTE(SUBSTITUTE(SUBSTITUTE(B8,"~","~~"),"*","~*"),"?","~?"))</f>
        <v/>
      </c>
      <c r="F8" s="15">
        <f>IFERROR(D8/SUM('Clean_Ledger'!$E$7:$E$31),0)</f>
        <v/>
      </c>
    </row>
    <row r="9">
      <c r="B9" s="12" t="inlineStr">
        <is>
          <t>Salaries &amp; Wages</t>
        </is>
      </c>
      <c r="C9" s="13">
        <f>COUNTIFS('Clean_Ledger'!$J$7:$J$31,SUBSTITUTE(SUBSTITUTE(SUBSTITUTE(B9,"~","~~"),"*","~*"),"?","~?"))</f>
        <v/>
      </c>
      <c r="D9" s="14">
        <f>SUMIFS('Clean_Ledger'!$E$7:$E$31,'Clean_Ledger'!$J$7:$J$31,SUBSTITUTE(SUBSTITUTE(SUBSTITUTE(B9,"~","~~"),"*","~*"),"?","~?"))</f>
        <v/>
      </c>
      <c r="E9" s="14">
        <f>SUMIFS('Clean_Ledger'!$F$7:$F$31,'Clean_Ledger'!$J$7:$J$31,SUBSTITUTE(SUBSTITUTE(SUBSTITUTE(B9,"~","~~"),"*","~*"),"?","~?"))</f>
        <v/>
      </c>
      <c r="F9" s="15">
        <f>IFERROR(D9/SUM('Clean_Ledger'!$E$7:$E$31),0)</f>
        <v/>
      </c>
    </row>
    <row r="10">
      <c r="B10" s="12" t="inlineStr">
        <is>
          <t>Rent</t>
        </is>
      </c>
      <c r="C10" s="13">
        <f>COUNTIFS('Clean_Ledger'!$J$7:$J$31,SUBSTITUTE(SUBSTITUTE(SUBSTITUTE(B10,"~","~~"),"*","~*"),"?","~?"))</f>
        <v/>
      </c>
      <c r="D10" s="14">
        <f>SUMIFS('Clean_Ledger'!$E$7:$E$31,'Clean_Ledger'!$J$7:$J$31,SUBSTITUTE(SUBSTITUTE(SUBSTITUTE(B10,"~","~~"),"*","~*"),"?","~?"))</f>
        <v/>
      </c>
      <c r="E10" s="14">
        <f>SUMIFS('Clean_Ledger'!$F$7:$F$31,'Clean_Ledger'!$J$7:$J$31,SUBSTITUTE(SUBSTITUTE(SUBSTITUTE(B10,"~","~~"),"*","~*"),"?","~?"))</f>
        <v/>
      </c>
      <c r="F10" s="15">
        <f>IFERROR(D10/SUM('Clean_Ledger'!$E$7:$E$31),0)</f>
        <v/>
      </c>
    </row>
    <row r="11">
      <c r="B11" s="12" t="inlineStr">
        <is>
          <t>Utilities</t>
        </is>
      </c>
      <c r="C11" s="13">
        <f>COUNTIFS('Clean_Ledger'!$J$7:$J$31,SUBSTITUTE(SUBSTITUTE(SUBSTITUTE(B11,"~","~~"),"*","~*"),"?","~?"))</f>
        <v/>
      </c>
      <c r="D11" s="14">
        <f>SUMIFS('Clean_Ledger'!$E$7:$E$31,'Clean_Ledger'!$J$7:$J$31,SUBSTITUTE(SUBSTITUTE(SUBSTITUTE(B11,"~","~~"),"*","~*"),"?","~?"))</f>
        <v/>
      </c>
      <c r="E11" s="14">
        <f>SUMIFS('Clean_Ledger'!$F$7:$F$31,'Clean_Ledger'!$J$7:$J$31,SUBSTITUTE(SUBSTITUTE(SUBSTITUTE(B11,"~","~~"),"*","~*"),"?","~?"))</f>
        <v/>
      </c>
      <c r="F11" s="15">
        <f>IFERROR(D11/SUM('Clean_Ledger'!$E$7:$E$31),0)</f>
        <v/>
      </c>
    </row>
    <row r="12">
      <c r="B12" s="12" t="inlineStr">
        <is>
          <t>Travel &amp; Entertainment</t>
        </is>
      </c>
      <c r="C12" s="13">
        <f>COUNTIFS('Clean_Ledger'!$J$7:$J$31,SUBSTITUTE(SUBSTITUTE(SUBSTITUTE(B12,"~","~~"),"*","~*"),"?","~?"))</f>
        <v/>
      </c>
      <c r="D12" s="14">
        <f>SUMIFS('Clean_Ledger'!$E$7:$E$31,'Clean_Ledger'!$J$7:$J$31,SUBSTITUTE(SUBSTITUTE(SUBSTITUTE(B12,"~","~~"),"*","~*"),"?","~?"))</f>
        <v/>
      </c>
      <c r="E12" s="14">
        <f>SUMIFS('Clean_Ledger'!$F$7:$F$31,'Clean_Ledger'!$J$7:$J$31,SUBSTITUTE(SUBSTITUTE(SUBSTITUTE(B12,"~","~~"),"*","~*"),"?","~?"))</f>
        <v/>
      </c>
      <c r="F12" s="15">
        <f>IFERROR(D12/SUM('Clean_Ledger'!$E$7:$E$31),0)</f>
        <v/>
      </c>
    </row>
    <row r="13">
      <c r="B13" s="12" t="inlineStr">
        <is>
          <t>Marketing &amp; Advertising</t>
        </is>
      </c>
      <c r="C13" s="13">
        <f>COUNTIFS('Clean_Ledger'!$J$7:$J$31,SUBSTITUTE(SUBSTITUTE(SUBSTITUTE(B13,"~","~~"),"*","~*"),"?","~?"))</f>
        <v/>
      </c>
      <c r="D13" s="14">
        <f>SUMIFS('Clean_Ledger'!$E$7:$E$31,'Clean_Ledger'!$J$7:$J$31,SUBSTITUTE(SUBSTITUTE(SUBSTITUTE(B13,"~","~~"),"*","~*"),"?","~?"))</f>
        <v/>
      </c>
      <c r="E13" s="14">
        <f>SUMIFS('Clean_Ledger'!$F$7:$F$31,'Clean_Ledger'!$J$7:$J$31,SUBSTITUTE(SUBSTITUTE(SUBSTITUTE(B13,"~","~~"),"*","~*"),"?","~?"))</f>
        <v/>
      </c>
      <c r="F13" s="15">
        <f>IFERROR(D13/SUM('Clean_Ledger'!$E$7:$E$31),0)</f>
        <v/>
      </c>
    </row>
    <row r="14">
      <c r="B14" s="12" t="inlineStr">
        <is>
          <t>Taxes &amp; Statutory Payments</t>
        </is>
      </c>
      <c r="C14" s="13">
        <f>COUNTIFS('Clean_Ledger'!$J$7:$J$31,SUBSTITUTE(SUBSTITUTE(SUBSTITUTE(B14,"~","~~"),"*","~*"),"?","~?"))</f>
        <v/>
      </c>
      <c r="D14" s="14">
        <f>SUMIFS('Clean_Ledger'!$E$7:$E$31,'Clean_Ledger'!$J$7:$J$31,SUBSTITUTE(SUBSTITUTE(SUBSTITUTE(B14,"~","~~"),"*","~*"),"?","~?"))</f>
        <v/>
      </c>
      <c r="E14" s="14">
        <f>SUMIFS('Clean_Ledger'!$F$7:$F$31,'Clean_Ledger'!$J$7:$J$31,SUBSTITUTE(SUBSTITUTE(SUBSTITUTE(B14,"~","~~"),"*","~*"),"?","~?"))</f>
        <v/>
      </c>
      <c r="F14" s="15">
        <f>IFERROR(D14/SUM('Clean_Ledger'!$E$7:$E$31),0)</f>
        <v/>
      </c>
    </row>
    <row r="15">
      <c r="B15" s="12" t="inlineStr">
        <is>
          <t>Bank Charges &amp; Fees</t>
        </is>
      </c>
      <c r="C15" s="13">
        <f>COUNTIFS('Clean_Ledger'!$J$7:$J$31,SUBSTITUTE(SUBSTITUTE(SUBSTITUTE(B15,"~","~~"),"*","~*"),"?","~?"))</f>
        <v/>
      </c>
      <c r="D15" s="14">
        <f>SUMIFS('Clean_Ledger'!$E$7:$E$31,'Clean_Ledger'!$J$7:$J$31,SUBSTITUTE(SUBSTITUTE(SUBSTITUTE(B15,"~","~~"),"*","~*"),"?","~?"))</f>
        <v/>
      </c>
      <c r="E15" s="14">
        <f>SUMIFS('Clean_Ledger'!$F$7:$F$31,'Clean_Ledger'!$J$7:$J$31,SUBSTITUTE(SUBSTITUTE(SUBSTITUTE(B15,"~","~~"),"*","~*"),"?","~?"))</f>
        <v/>
      </c>
      <c r="F15" s="15">
        <f>IFERROR(D15/SUM('Clean_Ledger'!$E$7:$E$31),0)</f>
        <v/>
      </c>
    </row>
    <row r="16">
      <c r="B16" s="12" t="inlineStr">
        <is>
          <t>Transfers</t>
        </is>
      </c>
      <c r="C16" s="13">
        <f>COUNTIFS('Clean_Ledger'!$J$7:$J$31,SUBSTITUTE(SUBSTITUTE(SUBSTITUTE(B16,"~","~~"),"*","~*"),"?","~?"))</f>
        <v/>
      </c>
      <c r="D16" s="14">
        <f>SUMIFS('Clean_Ledger'!$E$7:$E$31,'Clean_Ledger'!$J$7:$J$31,SUBSTITUTE(SUBSTITUTE(SUBSTITUTE(B16,"~","~~"),"*","~*"),"?","~?"))</f>
        <v/>
      </c>
      <c r="E16" s="14">
        <f>SUMIFS('Clean_Ledger'!$F$7:$F$31,'Clean_Ledger'!$J$7:$J$31,SUBSTITUTE(SUBSTITUTE(SUBSTITUTE(B16,"~","~~"),"*","~*"),"?","~?"))</f>
        <v/>
      </c>
      <c r="F16" s="15">
        <f>IFERROR(D16/SUM('Clean_Ledger'!$E$7:$E$31),0)</f>
        <v/>
      </c>
    </row>
    <row r="17">
      <c r="B17" s="12" t="inlineStr">
        <is>
          <t>Other</t>
        </is>
      </c>
      <c r="C17" s="13">
        <f>COUNTIFS('Clean_Ledger'!$J$7:$J$31,SUBSTITUTE(SUBSTITUTE(SUBSTITUTE(B17,"~","~~"),"*","~*"),"?","~?"))</f>
        <v/>
      </c>
      <c r="D17" s="14">
        <f>SUMIFS('Clean_Ledger'!$E$7:$E$31,'Clean_Ledger'!$J$7:$J$31,SUBSTITUTE(SUBSTITUTE(SUBSTITUTE(B17,"~","~~"),"*","~*"),"?","~?"))</f>
        <v/>
      </c>
      <c r="E17" s="14">
        <f>SUMIFS('Clean_Ledger'!$F$7:$F$31,'Clean_Ledger'!$J$7:$J$31,SUBSTITUTE(SUBSTITUTE(SUBSTITUTE(B17,"~","~~"),"*","~*"),"?","~?"))</f>
        <v/>
      </c>
      <c r="F17" s="15">
        <f>IFERROR(D17/SUM('Clean_Ledger'!$E$7:$E$31),0)</f>
        <v/>
      </c>
    </row>
    <row r="18">
      <c r="B18" s="12" t="inlineStr">
        <is>
          <t>Bank Charges &amp; Hidden Fees</t>
        </is>
      </c>
      <c r="C18" s="13">
        <f>COUNTIFS('Clean_Ledger'!$J$7:$J$31,SUBSTITUTE(SUBSTITUTE(SUBSTITUTE(B18,"~","~~"),"*","~*"),"?","~?"))</f>
        <v/>
      </c>
      <c r="D18" s="14">
        <f>SUMIFS('Clean_Ledger'!$E$7:$E$31,'Clean_Ledger'!$J$7:$J$31,SUBSTITUTE(SUBSTITUTE(SUBSTITUTE(B18,"~","~~"),"*","~*"),"?","~?"))</f>
        <v/>
      </c>
      <c r="E18" s="14">
        <f>SUMIFS('Clean_Ledger'!$F$7:$F$31,'Clean_Ledger'!$J$7:$J$31,SUBSTITUTE(SUBSTITUTE(SUBSTITUTE(B18,"~","~~"),"*","~*"),"?","~?"))</f>
        <v/>
      </c>
      <c r="F18" s="15">
        <f>IFERROR(D18/SUM('Clean_Ledger'!$E$7:$E$31),0)</f>
        <v/>
      </c>
    </row>
    <row r="19">
      <c r="B19" s="12" t="inlineStr">
        <is>
          <t>Food &amp; Dining</t>
        </is>
      </c>
      <c r="C19" s="13">
        <f>COUNTIFS('Clean_Ledger'!$J$7:$J$31,SUBSTITUTE(SUBSTITUTE(SUBSTITUTE(B19,"~","~~"),"*","~*"),"?","~?"))</f>
        <v/>
      </c>
      <c r="D19" s="14">
        <f>SUMIFS('Clean_Ledger'!$E$7:$E$31,'Clean_Ledger'!$J$7:$J$31,SUBSTITUTE(SUBSTITUTE(SUBSTITUTE(B19,"~","~~"),"*","~*"),"?","~?"))</f>
        <v/>
      </c>
      <c r="E19" s="14">
        <f>SUMIFS('Clean_Ledger'!$F$7:$F$31,'Clean_Ledger'!$J$7:$J$31,SUBSTITUTE(SUBSTITUTE(SUBSTITUTE(B19,"~","~~"),"*","~*"),"?","~?"))</f>
        <v/>
      </c>
      <c r="F19" s="15">
        <f>IFERROR(D19/SUM('Clean_Ledger'!$E$7:$E$31),0)</f>
        <v/>
      </c>
    </row>
    <row r="20">
      <c r="B20" s="12" t="inlineStr">
        <is>
          <t>Groceries &amp; Quick-Commerce</t>
        </is>
      </c>
      <c r="C20" s="13">
        <f>COUNTIFS('Clean_Ledger'!$J$7:$J$31,SUBSTITUTE(SUBSTITUTE(SUBSTITUTE(B20,"~","~~"),"*","~*"),"?","~?"))</f>
        <v/>
      </c>
      <c r="D20" s="14">
        <f>SUMIFS('Clean_Ledger'!$E$7:$E$31,'Clean_Ledger'!$J$7:$J$31,SUBSTITUTE(SUBSTITUTE(SUBSTITUTE(B20,"~","~~"),"*","~*"),"?","~?"))</f>
        <v/>
      </c>
      <c r="E20" s="14">
        <f>SUMIFS('Clean_Ledger'!$F$7:$F$31,'Clean_Ledger'!$J$7:$J$31,SUBSTITUTE(SUBSTITUTE(SUBSTITUTE(B20,"~","~~"),"*","~*"),"?","~?"))</f>
        <v/>
      </c>
      <c r="F20" s="15">
        <f>IFERROR(D20/SUM('Clean_Ledger'!$E$7:$E$31),0)</f>
        <v/>
      </c>
    </row>
    <row r="21">
      <c r="B21" s="12" t="inlineStr">
        <is>
          <t>Salary &amp; Income</t>
        </is>
      </c>
      <c r="C21" s="13">
        <f>COUNTIFS('Clean_Ledger'!$J$7:$J$31,SUBSTITUTE(SUBSTITUTE(SUBSTITUTE(B21,"~","~~"),"*","~*"),"?","~?"))</f>
        <v/>
      </c>
      <c r="D21" s="14">
        <f>SUMIFS('Clean_Ledger'!$E$7:$E$31,'Clean_Ledger'!$J$7:$J$31,SUBSTITUTE(SUBSTITUTE(SUBSTITUTE(B21,"~","~~"),"*","~*"),"?","~?"))</f>
        <v/>
      </c>
      <c r="E21" s="14">
        <f>SUMIFS('Clean_Ledger'!$F$7:$F$31,'Clean_Ledger'!$J$7:$J$31,SUBSTITUTE(SUBSTITUTE(SUBSTITUTE(B21,"~","~~"),"*","~*"),"?","~?"))</f>
        <v/>
      </c>
      <c r="F21" s="15">
        <f>IFERROR(D21/SUM('Clean_Ledger'!$E$7:$E$31),0)</f>
        <v/>
      </c>
    </row>
    <row r="22">
      <c r="B22" s="12" t="inlineStr">
        <is>
          <t>Shopping &amp; E-Commerce</t>
        </is>
      </c>
      <c r="C22" s="13">
        <f>COUNTIFS('Clean_Ledger'!$J$7:$J$31,SUBSTITUTE(SUBSTITUTE(SUBSTITUTE(B22,"~","~~"),"*","~*"),"?","~?"))</f>
        <v/>
      </c>
      <c r="D22" s="14">
        <f>SUMIFS('Clean_Ledger'!$E$7:$E$31,'Clean_Ledger'!$J$7:$J$31,SUBSTITUTE(SUBSTITUTE(SUBSTITUTE(B22,"~","~~"),"*","~*"),"?","~?"))</f>
        <v/>
      </c>
      <c r="E22" s="14">
        <f>SUMIFS('Clean_Ledger'!$F$7:$F$31,'Clean_Ledger'!$J$7:$J$31,SUBSTITUTE(SUBSTITUTE(SUBSTITUTE(B22,"~","~~"),"*","~*"),"?","~?"))</f>
        <v/>
      </c>
      <c r="F22" s="15">
        <f>IFERROR(D22/SUM('Clean_Ledger'!$E$7:$E$31),0)</f>
        <v/>
      </c>
    </row>
    <row r="23">
      <c r="B23" s="12" t="inlineStr">
        <is>
          <t>Travel &amp; Commute</t>
        </is>
      </c>
      <c r="C23" s="13">
        <f>COUNTIFS('Clean_Ledger'!$J$7:$J$31,SUBSTITUTE(SUBSTITUTE(SUBSTITUTE(B23,"~","~~"),"*","~*"),"?","~?"))</f>
        <v/>
      </c>
      <c r="D23" s="14">
        <f>SUMIFS('Clean_Ledger'!$E$7:$E$31,'Clean_Ledger'!$J$7:$J$31,SUBSTITUTE(SUBSTITUTE(SUBSTITUTE(B23,"~","~~"),"*","~*"),"?","~?"))</f>
        <v/>
      </c>
      <c r="E23" s="14">
        <f>SUMIFS('Clean_Ledger'!$F$7:$F$31,'Clean_Ledger'!$J$7:$J$31,SUBSTITUTE(SUBSTITUTE(SUBSTITUTE(B23,"~","~~"),"*","~*"),"?","~?"))</f>
        <v/>
      </c>
      <c r="F23" s="15">
        <f>IFERROR(D23/SUM('Clean_Ledger'!$E$7:$E$31),0)</f>
        <v/>
      </c>
    </row>
    <row r="24">
      <c r="B24" s="12" t="inlineStr">
        <is>
          <t>Vendor &amp; B2B Transfer</t>
        </is>
      </c>
      <c r="C24" s="13">
        <f>COUNTIFS('Clean_Ledger'!$J$7:$J$31,SUBSTITUTE(SUBSTITUTE(SUBSTITUTE(B24,"~","~~"),"*","~*"),"?","~?"))</f>
        <v/>
      </c>
      <c r="D24" s="14">
        <f>SUMIFS('Clean_Ledger'!$E$7:$E$31,'Clean_Ledger'!$J$7:$J$31,SUBSTITUTE(SUBSTITUTE(SUBSTITUTE(B24,"~","~~"),"*","~*"),"?","~?"))</f>
        <v/>
      </c>
      <c r="E24" s="14">
        <f>SUMIFS('Clean_Ledger'!$F$7:$F$31,'Clean_Ledger'!$J$7:$J$31,SUBSTITUTE(SUBSTITUTE(SUBSTITUTE(B24,"~","~~"),"*","~*"),"?","~?"))</f>
        <v/>
      </c>
      <c r="F24" s="15">
        <f>IFERROR(D24/SUM('Clean_Ledger'!$E$7:$E$31),0)</f>
        <v/>
      </c>
    </row>
    <row r="25">
      <c r="B25" s="16" t="inlineStr">
        <is>
          <t>TOTAL</t>
        </is>
      </c>
      <c r="C25" s="17">
        <f>SUM(C7:C24)</f>
        <v/>
      </c>
      <c r="D25" s="18">
        <f>SUM(D7:D24)</f>
        <v/>
      </c>
      <c r="E25" s="18">
        <f>SUM(E7:E24)</f>
        <v/>
      </c>
      <c r="F25" s="19">
        <f>SUM(F7:F24)</f>
        <v/>
      </c>
    </row>
    <row r="26"/>
    <row r="27"/>
    <row r="28" ht="27" customHeight="1">
      <c r="B28" s="7" t="inlineStr">
        <is>
          <t>B  |  TOP EXPENSE INSPECTOR</t>
        </is>
      </c>
      <c r="C28" s="2" t="n"/>
      <c r="D28" s="2" t="n"/>
      <c r="E28" s="2" t="n"/>
      <c r="F28" s="3" t="n"/>
    </row>
    <row r="29">
      <c r="B29" s="12" t="inlineStr">
        <is>
          <t>Largest Single Debit Outflow</t>
        </is>
      </c>
      <c r="C29" s="14">
        <f>MAX('Clean_Ledger'!$E$7:$E$31)</f>
        <v/>
      </c>
    </row>
    <row r="30" ht="48" customHeight="1">
      <c r="B30" s="12" t="inlineStr">
        <is>
          <t>Exact Narration</t>
        </is>
      </c>
      <c r="C30" s="10">
        <f>IF(C29&lt;=0,"None",_xlfn.XLOOKUP(C29,'Clean_Ledger'!$E$7:$E$31,'Clean_Ledger'!$C$7:$C$31,"None",0))</f>
        <v/>
      </c>
    </row>
    <row r="31">
      <c r="B31" s="12" t="inlineStr">
        <is>
          <t>Transaction Date</t>
        </is>
      </c>
      <c r="C31" s="9">
        <f>IF(C29&lt;=0,"None",_xlfn.XLOOKUP(C29,'Clean_Ledger'!$E$7:$E$31,'Clean_Ledger'!$B$7:$B$31,"None",0))</f>
        <v/>
      </c>
    </row>
    <row r="32" ht="27" customHeight="1">
      <c r="B32" s="4" t="inlineStr">
        <is>
          <t>Equal largest debits: the first transaction in source order is shown.</t>
        </is>
      </c>
      <c r="C32" s="2" t="n"/>
      <c r="D32" s="2" t="n"/>
      <c r="E32" s="2" t="n"/>
      <c r="F32" s="3" t="n"/>
    </row>
    <row r="33"/>
    <row r="34"/>
    <row r="35" ht="27" customHeight="1">
      <c r="B35" s="7" t="inlineStr">
        <is>
          <t>C  |  BURN RATE, HIDDEN FEES &amp; MATHEMATICAL RECONCILIATION</t>
        </is>
      </c>
      <c r="C35" s="2" t="n"/>
      <c r="D35" s="2" t="n"/>
      <c r="E35" s="2" t="n"/>
      <c r="F35" s="3" t="n"/>
    </row>
    <row r="36">
      <c r="B36" s="12" t="inlineStr">
        <is>
          <t>Daily Burn Rate</t>
        </is>
      </c>
      <c r="C36" s="14">
        <f>'Clean_Ledger'!M4</f>
        <v/>
      </c>
    </row>
    <row r="37">
      <c r="B37" s="12" t="inlineStr">
        <is>
          <t>Estimated Cash Runway (Days)</t>
        </is>
      </c>
      <c r="C37" s="11">
        <f>IF(C36&gt;0,MAX(0,'Clean_Ledger'!G4)/C36,"N/A")</f>
        <v/>
      </c>
    </row>
    <row r="38">
      <c r="B38" s="12" t="inlineStr">
        <is>
          <t>Total Hidden Bank Fees</t>
        </is>
      </c>
      <c r="C38" s="14">
        <f>'Clean_Ledger'!K4</f>
        <v/>
      </c>
    </row>
    <row r="39">
      <c r="B39" s="12" t="inlineStr">
        <is>
          <t>Opening Balance</t>
        </is>
      </c>
      <c r="C39" s="14">
        <f>'Clean_Ledger'!A4</f>
        <v/>
      </c>
    </row>
    <row r="40">
      <c r="B40" s="12" t="inlineStr">
        <is>
          <t>Total Credits</t>
        </is>
      </c>
      <c r="C40" s="14">
        <f>SUM('Clean_Ledger'!$F$7:$F$31)</f>
        <v/>
      </c>
    </row>
    <row r="41">
      <c r="B41" s="12" t="inlineStr">
        <is>
          <t>Total Debits</t>
        </is>
      </c>
      <c r="C41" s="14">
        <f>SUM('Clean_Ledger'!$E$7:$E$31)</f>
        <v/>
      </c>
    </row>
    <row r="42">
      <c r="B42" s="12" t="inlineStr">
        <is>
          <t>Closing Balance</t>
        </is>
      </c>
      <c r="C42" s="14">
        <f>'Clean_Ledger'!G4</f>
        <v/>
      </c>
    </row>
    <row r="43">
      <c r="B43" s="12" t="inlineStr">
        <is>
          <t>Net Cash Flow</t>
        </is>
      </c>
      <c r="C43" s="14">
        <f>SUM('Clean_Ledger'!$F$7:$F$31)-SUM('Clean_Ledger'!$E$7:$E$31)</f>
        <v/>
      </c>
    </row>
    <row r="44">
      <c r="B44" s="12" t="inlineStr">
        <is>
          <t>Reconciliation Difference</t>
        </is>
      </c>
      <c r="C44" s="14">
        <f>(C39+C40-C41)-C42</f>
        <v/>
      </c>
    </row>
    <row r="45">
      <c r="B45" s="12" t="inlineStr">
        <is>
          <t>Mathematical Reconciliation</t>
        </is>
      </c>
      <c r="C45" s="12">
        <f>IF(ABS((C39+C40-C41)-C42)&lt;0.01,"RECONCILED (0.00 DIFF)","DISCREPANCY DETECTED")</f>
        <v/>
      </c>
    </row>
    <row r="46"/>
    <row r="47">
      <c r="B47" s="12" t="inlineStr">
        <is>
          <t>Transaction Count</t>
        </is>
      </c>
      <c r="C47" s="13">
        <f>COUNTIFS('Clean_Ledger'!$A$7:$A$31,"&lt;&gt;")</f>
        <v/>
      </c>
    </row>
    <row r="48">
      <c r="B48" s="12" t="inlineStr">
        <is>
          <t>Math Verification %</t>
        </is>
      </c>
      <c r="C48" s="15">
        <f>IFERROR(COUNTIFS('Clean_Ledger'!$H$7:$H$31,TRUE,'Clean_Ledger'!$A$7:$A$31,"&lt;&gt;")/COUNTIFS('Clean_Ledger'!$A$7:$A$31,"&lt;&gt;"),0)</f>
        <v/>
      </c>
    </row>
    <row r="49">
      <c r="B49" s="12" t="inlineStr">
        <is>
          <t>Unverified Transactions</t>
        </is>
      </c>
      <c r="C49" s="13">
        <f>COUNTIFS('Clean_Ledger'!$H$7:$H$31,FALSE,'Clean_Ledger'!$A$7:$A$31,"&lt;&gt;")</f>
        <v/>
      </c>
    </row>
    <row r="50">
      <c r="B50" s="12" t="inlineStr">
        <is>
          <t>Flagged Anomalies</t>
        </is>
      </c>
      <c r="C50" s="13">
        <f>COUNTIFS('Clean_Ledger'!$N$7:$N$31,TRUE,'Clean_Ledger'!$A$7:$A$31,"&lt;&gt;")</f>
        <v/>
      </c>
    </row>
    <row r="51"/>
    <row r="52" ht="38" customHeight="1">
      <c r="B52" s="4" t="inlineStr">
        <is>
          <t>Runway = nonnegative closing cash / supplied daily burn; N/A when burn is zero or negative. Hidden fees and burn are audit inputs.</t>
        </is>
      </c>
      <c r="C52" s="2" t="n"/>
      <c r="D52" s="2" t="n"/>
      <c r="E52" s="2" t="n"/>
      <c r="F52" s="3" t="n"/>
    </row>
  </sheetData>
  <mergeCells count="9">
    <mergeCell ref="C45:F45"/>
    <mergeCell ref="A1:G1"/>
    <mergeCell ref="B28:F28"/>
    <mergeCell ref="B5:F5"/>
    <mergeCell ref="C30:F30"/>
    <mergeCell ref="A2:G2"/>
    <mergeCell ref="B32:F32"/>
    <mergeCell ref="B52:F52"/>
    <mergeCell ref="B35:F35"/>
  </mergeCells>
  <conditionalFormatting sqref="C45:F45">
    <cfRule type="expression" priority="1" dxfId="2">
      <formula>ABS($C$44)&lt;0.01</formula>
    </cfRule>
    <cfRule type="expression" priority="2" dxfId="0">
      <formula>ABS($C$44)&gt;=0.01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&amp;C&amp;9 VaultSheet | Page &amp;P of &amp;N&amp;RConfidential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B9770E"/>
    <outlinePr summaryBelow="1" summaryRight="0"/>
    <pageSetUpPr fitToPage="1"/>
  </sheetPr>
  <dimension ref="A1:P14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12" customWidth="1" min="1" max="1"/>
    <col width="12" customWidth="1" min="2" max="2"/>
    <col width="55" customWidth="1" min="3" max="3"/>
    <col width="14" customWidth="1" min="4" max="4"/>
    <col width="12" customWidth="1" min="5" max="5"/>
    <col width="12" customWidth="1" min="6" max="6"/>
    <col width="14" customWidth="1" min="7" max="7"/>
    <col width="15" customWidth="1" min="8" max="8"/>
    <col width="19" customWidth="1" min="9" max="9"/>
    <col width="28" customWidth="1" min="10" max="10"/>
    <col width="33" customWidth="1" min="11" max="11"/>
    <col width="20" customWidth="1" min="12" max="12"/>
    <col width="12" customWidth="1" min="13" max="13"/>
    <col width="14" customWidth="1" min="14" max="14"/>
    <col width="55" customWidth="1" min="15" max="15"/>
    <col width="55" customWidth="1" min="16" max="16"/>
  </cols>
  <sheetData>
    <row r="1" ht="36" customHeight="1">
      <c r="A1" s="1" t="inlineStr">
        <is>
          <t>VAULTSHEET — RISK &amp; ANOMALIES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7" customHeight="1">
      <c r="A2" s="4" t="inlineStr">
        <is>
          <t>Audit exceptions snapshot | Enter review decisions and sign-off in the yellow column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3" t="n"/>
    </row>
    <row r="4" ht="27" customHeight="1">
      <c r="A4" s="4" t="inlineStr">
        <is>
          <t>8 transactions require review | Regenerate this tab after changing source audit flags.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3" t="n"/>
    </row>
    <row r="6" ht="34" customHeight="1">
      <c r="A6" s="7" t="inlineStr">
        <is>
          <t>tx_id</t>
        </is>
      </c>
      <c r="B6" s="7" t="inlineStr">
        <is>
          <t>date</t>
        </is>
      </c>
      <c r="C6" s="7" t="inlineStr">
        <is>
          <t>description</t>
        </is>
      </c>
      <c r="D6" s="7" t="inlineStr">
        <is>
          <t>ref_no</t>
        </is>
      </c>
      <c r="E6" s="7" t="inlineStr">
        <is>
          <t>debit</t>
        </is>
      </c>
      <c r="F6" s="7" t="inlineStr">
        <is>
          <t>credit</t>
        </is>
      </c>
      <c r="G6" s="7" t="inlineStr">
        <is>
          <t>balance</t>
        </is>
      </c>
      <c r="H6" s="7" t="inlineStr">
        <is>
          <t>math_verified</t>
        </is>
      </c>
      <c r="I6" s="7" t="inlineStr">
        <is>
          <t>extraction_method</t>
        </is>
      </c>
      <c r="J6" s="7" t="inlineStr">
        <is>
          <t>category</t>
        </is>
      </c>
      <c r="K6" s="7" t="inlineStr">
        <is>
          <t>tally_ledger</t>
        </is>
      </c>
      <c r="L6" s="7" t="inlineStr">
        <is>
          <t>tally_voucher_type</t>
        </is>
      </c>
      <c r="M6" s="7" t="inlineStr">
        <is>
          <t>confidence</t>
        </is>
      </c>
      <c r="N6" s="7" t="inlineStr">
        <is>
          <t>anomaly_flag</t>
        </is>
      </c>
      <c r="O6" s="7" t="inlineStr">
        <is>
          <t>anomaly_reason</t>
        </is>
      </c>
      <c r="P6" s="7" t="inlineStr">
        <is>
          <t>Chartered Accountant / Auditor Remarks</t>
        </is>
      </c>
    </row>
    <row r="7" ht="44" customHeight="1">
      <c r="A7" s="8" t="inlineStr">
        <is>
          <t>3</t>
        </is>
      </c>
      <c r="B7" s="9" t="n">
        <v>46090</v>
      </c>
      <c r="C7" s="10" t="inlineStr">
        <is>
          <t>NEFT/DR/N262884129/CLOUDHOST INDIA SER HDFC0001209/BILL-OCT-992 DEDICATED SER UNAUTHORIZED BANDWIDTH OVERAGE SURCHAR</t>
        </is>
      </c>
      <c r="D7" s="8" t="inlineStr">
        <is>
          <t>N262884129</t>
        </is>
      </c>
      <c r="E7" s="11" t="n">
        <v>112100</v>
      </c>
      <c r="F7" s="11" t="n">
        <v>0</v>
      </c>
      <c r="G7" s="11" t="n">
        <v>1460004</v>
      </c>
      <c r="H7" s="12" t="b">
        <v>1</v>
      </c>
      <c r="I7" s="12" t="inlineStr">
        <is>
          <t>native_grid</t>
        </is>
      </c>
      <c r="J7" s="12" t="inlineStr">
        <is>
          <t>Vendor &amp; B2B Transfer</t>
        </is>
      </c>
      <c r="K7" s="12" t="inlineStr">
        <is>
          <t>Cloudhost India A/c</t>
        </is>
      </c>
      <c r="L7" s="12" t="inlineStr">
        <is>
          <t>Payment</t>
        </is>
      </c>
      <c r="M7" s="11" t="n">
        <v>0.99</v>
      </c>
      <c r="N7" s="12" t="b">
        <v>1</v>
      </c>
      <c r="O7" s="10" t="inlineStr">
        <is>
          <t>Vendor overcharge vs contract master; Vendor GST rate/math mismatch</t>
        </is>
      </c>
      <c r="P7" s="20" t="inlineStr"/>
    </row>
    <row r="8" ht="44" customHeight="1">
      <c r="A8" s="8" t="inlineStr">
        <is>
          <t>4</t>
        </is>
      </c>
      <c r="B8" s="9" t="n">
        <v>46090</v>
      </c>
      <c r="C8" s="10" t="inlineStr">
        <is>
          <t>NEFT/DR/N263771029/SHARMA PACKAGING IN ICIC0000812/PO-4410 CORRUGATED BOX SUP TAX BILLED AT 18 PCT INSTEAD OF CONTRA</t>
        </is>
      </c>
      <c r="D8" s="8" t="inlineStr">
        <is>
          <t>N263771029</t>
        </is>
      </c>
      <c r="E8" s="11" t="n">
        <v>41300</v>
      </c>
      <c r="F8" s="11" t="n">
        <v>0</v>
      </c>
      <c r="G8" s="11" t="n">
        <v>1418704</v>
      </c>
      <c r="H8" s="12" t="b">
        <v>1</v>
      </c>
      <c r="I8" s="12" t="inlineStr">
        <is>
          <t>native_grid</t>
        </is>
      </c>
      <c r="J8" s="12" t="inlineStr">
        <is>
          <t>Vendor &amp; B2B Transfer</t>
        </is>
      </c>
      <c r="K8" s="12" t="inlineStr">
        <is>
          <t>Sharma Packaging A/c</t>
        </is>
      </c>
      <c r="L8" s="12" t="inlineStr">
        <is>
          <t>Contra</t>
        </is>
      </c>
      <c r="M8" s="11" t="n">
        <v>0.99</v>
      </c>
      <c r="N8" s="12" t="b">
        <v>1</v>
      </c>
      <c r="O8" s="10" t="inlineStr">
        <is>
          <t>Vendor overcharge vs contract master; Vendor GST rate/math mismatch</t>
        </is>
      </c>
      <c r="P8" s="20" t="inlineStr"/>
    </row>
    <row r="9" ht="44" customHeight="1">
      <c r="A9" s="8" t="inlineStr">
        <is>
          <t>5</t>
        </is>
      </c>
      <c r="B9" s="9" t="n">
        <v>46151</v>
      </c>
      <c r="C9" s="10" t="inlineStr">
        <is>
          <t>RTGS/DR/R264991201/METRO POWER INFRAST UTIB0000104/MTHLY DG SET AMNT CONTRACT BRANCH AUTO-SETTLEMENT BATCH MUMBAI MA</t>
        </is>
      </c>
      <c r="D9" s="8" t="inlineStr">
        <is>
          <t>R264991201</t>
        </is>
      </c>
      <c r="E9" s="11" t="n">
        <v>141600</v>
      </c>
      <c r="F9" s="11" t="n">
        <v>0</v>
      </c>
      <c r="G9" s="11" t="n">
        <v>1277104</v>
      </c>
      <c r="H9" s="12" t="b">
        <v>1</v>
      </c>
      <c r="I9" s="12" t="inlineStr">
        <is>
          <t>native_grid</t>
        </is>
      </c>
      <c r="J9" s="12" t="inlineStr">
        <is>
          <t>Vendor &amp; B2B Transfer</t>
        </is>
      </c>
      <c r="K9" s="12" t="inlineStr">
        <is>
          <t>Metro Power A/c</t>
        </is>
      </c>
      <c r="L9" s="12" t="inlineStr">
        <is>
          <t>Contra</t>
        </is>
      </c>
      <c r="M9" s="11" t="n">
        <v>0.99</v>
      </c>
      <c r="N9" s="12" t="b">
        <v>1</v>
      </c>
      <c r="O9" s="10" t="inlineStr">
        <is>
          <t>Statistical high-value outflow outlier</t>
        </is>
      </c>
      <c r="P9" s="20" t="inlineStr"/>
    </row>
    <row r="10" ht="44" customHeight="1">
      <c r="A10" s="8" t="inlineStr">
        <is>
          <t>6</t>
        </is>
      </c>
      <c r="B10" s="9" t="n">
        <v>46182</v>
      </c>
      <c r="C10" s="10" t="inlineStr">
        <is>
          <t>SMS ALERT CHG Q3</t>
        </is>
      </c>
      <c r="D10" s="8" t="inlineStr">
        <is>
          <t>FEE191694</t>
        </is>
      </c>
      <c r="E10" s="11" t="n">
        <v>17.7</v>
      </c>
      <c r="F10" s="11" t="n">
        <v>0</v>
      </c>
      <c r="G10" s="11" t="n">
        <v>1277086.3</v>
      </c>
      <c r="H10" s="12" t="b">
        <v>1</v>
      </c>
      <c r="I10" s="12" t="inlineStr">
        <is>
          <t>native_grid</t>
        </is>
      </c>
      <c r="J10" s="12" t="inlineStr">
        <is>
          <t>Bank Charges &amp; Hidden Fees</t>
        </is>
      </c>
      <c r="K10" s="12" t="inlineStr">
        <is>
          <t>Bank Charges A/c</t>
        </is>
      </c>
      <c r="L10" s="12" t="inlineStr">
        <is>
          <t>Payment</t>
        </is>
      </c>
      <c r="M10" s="11" t="n">
        <v>0.99</v>
      </c>
      <c r="N10" s="12" t="b">
        <v>1</v>
      </c>
      <c r="O10" s="10" t="inlineStr">
        <is>
          <t>Hidden bank fee / penalty charge</t>
        </is>
      </c>
      <c r="P10" s="20" t="inlineStr"/>
    </row>
    <row r="11" ht="44" customHeight="1">
      <c r="A11" s="8" t="inlineStr">
        <is>
          <t>12</t>
        </is>
      </c>
      <c r="B11" s="9" t="n">
        <v>46335</v>
      </c>
      <c r="C11" s="10" t="inlineStr">
        <is>
          <t>MIN BAL PENALTY</t>
        </is>
      </c>
      <c r="D11" s="8" t="inlineStr">
        <is>
          <t>FEE525554</t>
        </is>
      </c>
      <c r="E11" s="11" t="n">
        <v>590</v>
      </c>
      <c r="F11" s="11" t="n">
        <v>0</v>
      </c>
      <c r="G11" s="11" t="n">
        <v>1473482.3</v>
      </c>
      <c r="H11" s="12" t="b">
        <v>1</v>
      </c>
      <c r="I11" s="12" t="inlineStr">
        <is>
          <t>native_grid</t>
        </is>
      </c>
      <c r="J11" s="12" t="inlineStr">
        <is>
          <t>Bank Charges &amp; Hidden Fees</t>
        </is>
      </c>
      <c r="K11" s="12" t="inlineStr">
        <is>
          <t>Bank Charges A/c</t>
        </is>
      </c>
      <c r="L11" s="12" t="inlineStr">
        <is>
          <t>Payment</t>
        </is>
      </c>
      <c r="M11" s="11" t="n">
        <v>0.99</v>
      </c>
      <c r="N11" s="12" t="b">
        <v>1</v>
      </c>
      <c r="O11" s="10" t="inlineStr">
        <is>
          <t>Hidden bank fee / penalty charge</t>
        </is>
      </c>
      <c r="P11" s="20" t="inlineStr"/>
    </row>
    <row r="12" ht="44" customHeight="1">
      <c r="A12" s="8" t="inlineStr">
        <is>
          <t>14</t>
        </is>
      </c>
      <c r="B12" s="9" t="n">
        <v>46335</v>
      </c>
      <c r="C12" s="10" t="inlineStr">
        <is>
          <t>UPI/DR/428719928311/SWIGGY INSTAMART HDFC0000123/Order 99812/Instant</t>
        </is>
      </c>
      <c r="D12" s="8" t="inlineStr">
        <is>
          <t>428719928311</t>
        </is>
      </c>
      <c r="E12" s="11" t="n">
        <v>2450</v>
      </c>
      <c r="F12" s="11" t="n">
        <v>0</v>
      </c>
      <c r="G12" s="11" t="n">
        <v>1468582.3</v>
      </c>
      <c r="H12" s="12" t="b">
        <v>1</v>
      </c>
      <c r="I12" s="12" t="inlineStr">
        <is>
          <t>native_grid</t>
        </is>
      </c>
      <c r="J12" s="12" t="inlineStr">
        <is>
          <t>Groceries &amp; Quick-Commerce</t>
        </is>
      </c>
      <c r="K12" s="12" t="inlineStr">
        <is>
          <t>Office Pantry &amp; Consumables A/c</t>
        </is>
      </c>
      <c r="L12" s="12" t="inlineStr">
        <is>
          <t>Payment</t>
        </is>
      </c>
      <c r="M12" s="11" t="n">
        <v>0.99</v>
      </c>
      <c r="N12" s="12" t="b">
        <v>1</v>
      </c>
      <c r="O12" s="10" t="inlineStr">
        <is>
          <t>Duplicate debit charge detected</t>
        </is>
      </c>
      <c r="P12" s="20" t="inlineStr"/>
    </row>
    <row r="13" ht="44" customHeight="1">
      <c r="A13" s="8" t="inlineStr">
        <is>
          <t>15</t>
        </is>
      </c>
      <c r="B13" s="9" t="n">
        <v>46335</v>
      </c>
      <c r="C13" s="10" t="inlineStr">
        <is>
          <t>IMPS CONVENIENCE FEE</t>
        </is>
      </c>
      <c r="D13" s="8" t="inlineStr">
        <is>
          <t>FEE103408</t>
        </is>
      </c>
      <c r="E13" s="11" t="n">
        <v>5.9</v>
      </c>
      <c r="F13" s="11" t="n">
        <v>0</v>
      </c>
      <c r="G13" s="11" t="n">
        <v>1468576.4</v>
      </c>
      <c r="H13" s="12" t="b">
        <v>1</v>
      </c>
      <c r="I13" s="12" t="inlineStr">
        <is>
          <t>native_grid</t>
        </is>
      </c>
      <c r="J13" s="12" t="inlineStr">
        <is>
          <t>Bank Charges &amp; Hidden Fees</t>
        </is>
      </c>
      <c r="K13" s="12" t="inlineStr">
        <is>
          <t>Bank Charges A/c</t>
        </is>
      </c>
      <c r="L13" s="12" t="inlineStr">
        <is>
          <t>Payment</t>
        </is>
      </c>
      <c r="M13" s="11" t="n">
        <v>0.99</v>
      </c>
      <c r="N13" s="12" t="b">
        <v>1</v>
      </c>
      <c r="O13" s="10" t="inlineStr">
        <is>
          <t>Hidden bank fee / penalty charge</t>
        </is>
      </c>
      <c r="P13" s="20" t="inlineStr"/>
    </row>
    <row r="14" ht="44" customHeight="1">
      <c r="A14" s="8" t="inlineStr">
        <is>
          <t>22</t>
        </is>
      </c>
      <c r="B14" s="9" t="n">
        <v>46281</v>
      </c>
      <c r="C14" s="10" t="inlineStr">
        <is>
          <t>DEBIT CARD ANNUAL FEE</t>
        </is>
      </c>
      <c r="D14" s="8" t="inlineStr">
        <is>
          <t>FEE642952</t>
        </is>
      </c>
      <c r="E14" s="11" t="n">
        <v>590</v>
      </c>
      <c r="F14" s="11" t="n">
        <v>0</v>
      </c>
      <c r="G14" s="11" t="n">
        <v>1678212.15</v>
      </c>
      <c r="H14" s="12" t="b">
        <v>1</v>
      </c>
      <c r="I14" s="12" t="inlineStr">
        <is>
          <t>native_grid</t>
        </is>
      </c>
      <c r="J14" s="12" t="inlineStr">
        <is>
          <t>Bank Charges &amp; Hidden Fees</t>
        </is>
      </c>
      <c r="K14" s="12" t="inlineStr">
        <is>
          <t>Bank Charges A/c</t>
        </is>
      </c>
      <c r="L14" s="12" t="inlineStr">
        <is>
          <t>Payment</t>
        </is>
      </c>
      <c r="M14" s="11" t="n">
        <v>0.99</v>
      </c>
      <c r="N14" s="12" t="b">
        <v>1</v>
      </c>
      <c r="O14" s="10" t="inlineStr">
        <is>
          <t>Hidden bank fee / penalty charge</t>
        </is>
      </c>
      <c r="P14" s="20" t="inlineStr"/>
    </row>
  </sheetData>
  <autoFilter ref="A6:P14"/>
  <mergeCells count="3">
    <mergeCell ref="A1:P1"/>
    <mergeCell ref="A4:P4"/>
    <mergeCell ref="A2:P2"/>
  </mergeCells>
  <conditionalFormatting sqref="A7:O14">
    <cfRule type="expression" priority="1" dxfId="0" stopIfTrue="1">
      <formula>$N7=TRUE</formula>
    </cfRule>
    <cfRule type="expression" priority="2" dxfId="1" stopIfTrue="1">
      <formula>AND($A7&lt;&gt;"",$H7=FALSE)</formula>
    </cfRule>
  </conditionalFormatting>
  <printOptions horizontalCentered="1"/>
  <pageMargins left="0.75" right="0.75" top="1" bottom="1" header="0.5" footer="0.5"/>
  <pageSetup orientation="landscape" paperSize="8" fitToHeight="0" fitToWidth="1"/>
  <headerFooter>
    <oddHeader/>
    <oddFooter>&amp;C&amp;9 VaultSheet | Page &amp;P of &amp;N&amp;RConfidential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874A6"/>
    <outlinePr summaryBelow="1" summaryRight="0"/>
    <pageSetUpPr fitToPage="1"/>
  </sheetPr>
  <dimension ref="A1:H31"/>
  <sheetViews>
    <sheetView showGridLines="0" zoomScale="9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20"/>
  <cols>
    <col width="19" customWidth="1" min="1" max="1"/>
    <col width="14" customWidth="1" min="2" max="2"/>
    <col width="35" customWidth="1" min="3" max="3"/>
    <col width="18" customWidth="1" min="4" max="4"/>
    <col width="21" customWidth="1" min="5" max="5"/>
    <col width="14" customWidth="1" min="6" max="6"/>
    <col width="15" customWidth="1" min="7" max="7"/>
    <col width="65" customWidth="1" min="8" max="8"/>
  </cols>
  <sheetData>
    <row r="1" ht="36" customHeight="1">
      <c r="A1" s="1" t="inlineStr">
        <is>
          <t>VAULTSHEET — TALLYPRIME VOUCHER IMPORT</t>
        </is>
      </c>
      <c r="B1" s="2" t="n"/>
      <c r="C1" s="2" t="n"/>
      <c r="D1" s="2" t="n"/>
      <c r="E1" s="2" t="n"/>
      <c r="F1" s="2" t="n"/>
      <c r="G1" s="2" t="n"/>
      <c r="H1" s="3" t="n"/>
    </row>
    <row r="2" ht="27" customHeight="1">
      <c r="A2" s="4" t="inlineStr">
        <is>
          <t>Map row 6 as headers and row 7 onward as data | Use ledger names configured in the destination company</t>
        </is>
      </c>
      <c r="B2" s="2" t="n"/>
      <c r="C2" s="2" t="n"/>
      <c r="D2" s="2" t="n"/>
      <c r="E2" s="2" t="n"/>
      <c r="F2" s="2" t="n"/>
      <c r="G2" s="2" t="n"/>
      <c r="H2" s="3" t="n"/>
    </row>
    <row r="6" ht="34" customHeight="1">
      <c r="A6" s="7" t="inlineStr">
        <is>
          <t>Date (DD-MM-YYYY)</t>
        </is>
      </c>
      <c r="B6" s="7" t="inlineStr">
        <is>
          <t>Voucher Type</t>
        </is>
      </c>
      <c r="C6" s="7" t="inlineStr">
        <is>
          <t>Party / Ledger Name</t>
        </is>
      </c>
      <c r="D6" s="7" t="inlineStr">
        <is>
          <t>Bank Ledger Name</t>
        </is>
      </c>
      <c r="E6" s="7" t="inlineStr">
        <is>
          <t>Instrument / UTR No</t>
        </is>
      </c>
      <c r="F6" s="7" t="inlineStr">
        <is>
          <t>Debit Amount</t>
        </is>
      </c>
      <c r="G6" s="7" t="inlineStr">
        <is>
          <t>Credit Amount</t>
        </is>
      </c>
      <c r="H6" s="7" t="inlineStr">
        <is>
          <t>Narration</t>
        </is>
      </c>
    </row>
    <row r="7" ht="32" customHeight="1">
      <c r="A7" s="8" t="inlineStr">
        <is>
          <t>09-01-2026</t>
        </is>
      </c>
      <c r="B7" s="12" t="inlineStr">
        <is>
          <t>Payment</t>
        </is>
      </c>
      <c r="C7" s="12" t="inlineStr">
        <is>
          <t>Staff Welfare &amp; Food Exp</t>
        </is>
      </c>
      <c r="D7" s="12" t="inlineStr">
        <is>
          <t>Primary Bank A/c</t>
        </is>
      </c>
      <c r="E7" s="8" t="inlineStr">
        <is>
          <t>4129195088</t>
        </is>
      </c>
      <c r="F7" s="11" t="n">
        <v>8896</v>
      </c>
      <c r="G7" s="11" t="n">
        <v>0</v>
      </c>
      <c r="H7" s="10" t="inlineStr">
        <is>
          <t>UPI/DR/4129195088/TATA STARBUCKS/ICIC0 POS Beverage 2219</t>
        </is>
      </c>
    </row>
    <row r="8" ht="32" customHeight="1">
      <c r="A8" s="8" t="inlineStr">
        <is>
          <t>09-03-2026</t>
        </is>
      </c>
      <c r="B8" s="12" t="inlineStr">
        <is>
          <t>Payment</t>
        </is>
      </c>
      <c r="C8" s="12" t="inlineStr">
        <is>
          <t>Apex Logistics A/c</t>
        </is>
      </c>
      <c r="D8" s="12" t="inlineStr">
        <is>
          <t>Primary Bank A/c</t>
        </is>
      </c>
      <c r="E8" s="8" t="inlineStr">
        <is>
          <t>N261998210</t>
        </is>
      </c>
      <c r="F8" s="11" t="n">
        <v>59000</v>
      </c>
      <c r="G8" s="11" t="n">
        <v>0</v>
      </c>
      <c r="H8" s="10" t="inlineStr">
        <is>
          <t>NEFT/DR/N261998210/APEX LOGISTICS PVT SBIN0004129/INV-2026-881 FREIGHT CHARG</t>
        </is>
      </c>
    </row>
    <row r="9" ht="32" customHeight="1">
      <c r="A9" s="8" t="inlineStr">
        <is>
          <t>09-03-2026</t>
        </is>
      </c>
      <c r="B9" s="12" t="inlineStr">
        <is>
          <t>Payment</t>
        </is>
      </c>
      <c r="C9" s="12" t="inlineStr">
        <is>
          <t>Cloudhost India A/c</t>
        </is>
      </c>
      <c r="D9" s="12" t="inlineStr">
        <is>
          <t>Primary Bank A/c</t>
        </is>
      </c>
      <c r="E9" s="8" t="inlineStr">
        <is>
          <t>N262884129</t>
        </is>
      </c>
      <c r="F9" s="11" t="n">
        <v>112100</v>
      </c>
      <c r="G9" s="11" t="n">
        <v>0</v>
      </c>
      <c r="H9" s="10" t="inlineStr">
        <is>
          <t>NEFT/DR/N262884129/CLOUDHOST INDIA SER HDFC0001209/BILL-OCT-992 DEDICATED SER UNAUTHORIZED BANDWIDTH OVERAGE SURCHAR</t>
        </is>
      </c>
    </row>
    <row r="10" ht="32" customHeight="1">
      <c r="A10" s="8" t="inlineStr">
        <is>
          <t>09-03-2026</t>
        </is>
      </c>
      <c r="B10" s="12" t="inlineStr">
        <is>
          <t>Contra</t>
        </is>
      </c>
      <c r="C10" s="12" t="inlineStr">
        <is>
          <t>Sharma Packaging A/c</t>
        </is>
      </c>
      <c r="D10" s="12" t="inlineStr">
        <is>
          <t>Primary Bank A/c</t>
        </is>
      </c>
      <c r="E10" s="8" t="inlineStr">
        <is>
          <t>N263771029</t>
        </is>
      </c>
      <c r="F10" s="11" t="n">
        <v>41300</v>
      </c>
      <c r="G10" s="11" t="n">
        <v>0</v>
      </c>
      <c r="H10" s="10" t="inlineStr">
        <is>
          <t>NEFT/DR/N263771029/SHARMA PACKAGING IN ICIC0000812/PO-4410 CORRUGATED BOX SUP TAX BILLED AT 18 PCT INSTEAD OF CONTRA</t>
        </is>
      </c>
    </row>
    <row r="11" ht="32" customHeight="1">
      <c r="A11" s="8" t="inlineStr">
        <is>
          <t>09-05-2026</t>
        </is>
      </c>
      <c r="B11" s="12" t="inlineStr">
        <is>
          <t>Contra</t>
        </is>
      </c>
      <c r="C11" s="12" t="inlineStr">
        <is>
          <t>Metro Power A/c</t>
        </is>
      </c>
      <c r="D11" s="12" t="inlineStr">
        <is>
          <t>Primary Bank A/c</t>
        </is>
      </c>
      <c r="E11" s="8" t="inlineStr">
        <is>
          <t>R264991201</t>
        </is>
      </c>
      <c r="F11" s="11" t="n">
        <v>141600</v>
      </c>
      <c r="G11" s="11" t="n">
        <v>0</v>
      </c>
      <c r="H11" s="10" t="inlineStr">
        <is>
          <t>RTGS/DR/R264991201/METRO POWER INFRAST UTIB0000104/MTHLY DG SET AMNT CONTRACT BRANCH AUTO-SETTLEMENT BATCH MUMBAI MA</t>
        </is>
      </c>
    </row>
    <row r="12" ht="32" customHeight="1">
      <c r="A12" s="8" t="inlineStr">
        <is>
          <t>09-06-2026</t>
        </is>
      </c>
      <c r="B12" s="12" t="inlineStr">
        <is>
          <t>Payment</t>
        </is>
      </c>
      <c r="C12" s="12" t="inlineStr">
        <is>
          <t>Bank Charges A/c</t>
        </is>
      </c>
      <c r="D12" s="12" t="inlineStr">
        <is>
          <t>Primary Bank A/c</t>
        </is>
      </c>
      <c r="E12" s="8" t="inlineStr">
        <is>
          <t>FEE191694</t>
        </is>
      </c>
      <c r="F12" s="11" t="n">
        <v>17.7</v>
      </c>
      <c r="G12" s="11" t="n">
        <v>0</v>
      </c>
      <c r="H12" s="10" t="inlineStr">
        <is>
          <t>SMS ALERT CHG Q3</t>
        </is>
      </c>
    </row>
    <row r="13" ht="32" customHeight="1">
      <c r="A13" s="8" t="inlineStr">
        <is>
          <t>09-06-2026</t>
        </is>
      </c>
      <c r="B13" s="12" t="inlineStr">
        <is>
          <t>Payment</t>
        </is>
      </c>
      <c r="C13" s="12" t="inlineStr">
        <is>
          <t>Travelling &amp; Conveyance Exp</t>
        </is>
      </c>
      <c r="D13" s="12" t="inlineStr">
        <is>
          <t>Primary Bank A/c</t>
        </is>
      </c>
      <c r="E13" s="8" t="inlineStr">
        <is>
          <t>4129198735</t>
        </is>
      </c>
      <c r="F13" s="11" t="n">
        <v>7144.75</v>
      </c>
      <c r="G13" s="11" t="n">
        <v>0</v>
      </c>
      <c r="H13" s="10" t="inlineStr">
        <is>
          <t>UPI/DR/4129198735/UBER INDIA SYST/ KKBK0000912/Trip Ride 10942/MUMBAI AUTH-REF-66272 VERIFIED</t>
        </is>
      </c>
    </row>
    <row r="14" ht="32" customHeight="1">
      <c r="A14" s="8" t="inlineStr">
        <is>
          <t>09-08-2026</t>
        </is>
      </c>
      <c r="B14" s="12" t="inlineStr">
        <is>
          <t>Payment</t>
        </is>
      </c>
      <c r="C14" s="12" t="inlineStr">
        <is>
          <t>Office Maintenance &amp; Supplies Exp</t>
        </is>
      </c>
      <c r="D14" s="12" t="inlineStr">
        <is>
          <t>Primary Bank A/c</t>
        </is>
      </c>
      <c r="E14" s="8" t="inlineStr">
        <is>
          <t>4129917245</t>
        </is>
      </c>
      <c r="F14" s="11" t="n">
        <v>3694.5</v>
      </c>
      <c r="G14" s="11" t="n">
        <v>0</v>
      </c>
      <c r="H14" s="10" t="inlineStr">
        <is>
          <t>UPI/DR/4129917245/PHARMEASY HEALTH/YES Med Order 55210</t>
        </is>
      </c>
    </row>
    <row r="15" ht="32" customHeight="1">
      <c r="A15" s="8" t="inlineStr">
        <is>
          <t>09-10-2026</t>
        </is>
      </c>
      <c r="B15" s="12" t="inlineStr">
        <is>
          <t>Payment</t>
        </is>
      </c>
      <c r="C15" s="12" t="inlineStr">
        <is>
          <t>Travelling &amp; Conveyance Exp</t>
        </is>
      </c>
      <c r="D15" s="12" t="inlineStr">
        <is>
          <t>Primary Bank A/c</t>
        </is>
      </c>
      <c r="E15" s="8" t="inlineStr">
        <is>
          <t>4129819113</t>
        </is>
      </c>
      <c r="F15" s="11" t="n">
        <v>3406.75</v>
      </c>
      <c r="G15" s="11" t="n">
        <v>0</v>
      </c>
      <c r="H15" s="10" t="inlineStr">
        <is>
          <t>UPI/DR/4129819113/UBER INDIA SYST/KKBK Trip Ride 10942</t>
        </is>
      </c>
    </row>
    <row r="16" ht="32" customHeight="1">
      <c r="A16" s="8" t="inlineStr">
        <is>
          <t>09-10-2026</t>
        </is>
      </c>
      <c r="B16" s="12" t="inlineStr">
        <is>
          <t>Receipt</t>
        </is>
      </c>
      <c r="C16" s="12" t="inlineStr">
        <is>
          <t>Sales &amp; Operating Revenue A/c</t>
        </is>
      </c>
      <c r="D16" s="12" t="inlineStr">
        <is>
          <t>Primary Bank A/c</t>
        </is>
      </c>
      <c r="E16" s="8" t="inlineStr">
        <is>
          <t>CR643553361</t>
        </is>
      </c>
      <c r="F16" s="11" t="n">
        <v>0</v>
      </c>
      <c r="G16" s="11" t="n">
        <v>64579</v>
      </c>
      <c r="H16" s="10" t="inlineStr">
        <is>
          <t>IMPS/CR/428519902112 CLIENT RETENTION MILESTONE/ICIC REMARKS: INV SETTLEMENT BATCH 414</t>
        </is>
      </c>
    </row>
    <row r="17" ht="32" customHeight="1">
      <c r="A17" s="8" t="inlineStr">
        <is>
          <t>09-10-2026</t>
        </is>
      </c>
      <c r="B17" s="12" t="inlineStr">
        <is>
          <t>Receipt</t>
        </is>
      </c>
      <c r="C17" s="12" t="inlineStr">
        <is>
          <t>Sales &amp; Operating Revenue A/c</t>
        </is>
      </c>
      <c r="D17" s="12" t="inlineStr">
        <is>
          <t>Primary Bank A/c</t>
        </is>
      </c>
      <c r="E17" s="8" t="inlineStr">
        <is>
          <t>CR567638098</t>
        </is>
      </c>
      <c r="F17" s="11" t="n">
        <v>0</v>
      </c>
      <c r="G17" s="11" t="n">
        <v>146653</v>
      </c>
      <c r="H17" s="10" t="inlineStr">
        <is>
          <t>NEFT/CR/N289100441 RAZORPAY SOFTWARE PVT LTD/SETTLEMENT REMARKS: INV SETTLEMENT BATCH 216</t>
        </is>
      </c>
    </row>
    <row r="18" ht="32" customHeight="1">
      <c r="A18" s="8" t="inlineStr">
        <is>
          <t>09-11-2026</t>
        </is>
      </c>
      <c r="B18" s="12" t="inlineStr">
        <is>
          <t>Payment</t>
        </is>
      </c>
      <c r="C18" s="12" t="inlineStr">
        <is>
          <t>Bank Charges A/c</t>
        </is>
      </c>
      <c r="D18" s="12" t="inlineStr">
        <is>
          <t>Primary Bank A/c</t>
        </is>
      </c>
      <c r="E18" s="8" t="inlineStr">
        <is>
          <t>FEE525554</t>
        </is>
      </c>
      <c r="F18" s="11" t="n">
        <v>590</v>
      </c>
      <c r="G18" s="11" t="n">
        <v>0</v>
      </c>
      <c r="H18" s="10" t="inlineStr">
        <is>
          <t>MIN BAL PENALTY</t>
        </is>
      </c>
    </row>
    <row r="19" ht="32" customHeight="1">
      <c r="A19" s="8" t="inlineStr">
        <is>
          <t>09-11-2026</t>
        </is>
      </c>
      <c r="B19" s="12" t="inlineStr">
        <is>
          <t>Payment</t>
        </is>
      </c>
      <c r="C19" s="12" t="inlineStr">
        <is>
          <t>Office Pantry &amp; Consumables A/c</t>
        </is>
      </c>
      <c r="D19" s="12" t="inlineStr">
        <is>
          <t>Primary Bank A/c</t>
        </is>
      </c>
      <c r="E19" s="8" t="inlineStr">
        <is>
          <t>428719928311</t>
        </is>
      </c>
      <c r="F19" s="11" t="n">
        <v>2450</v>
      </c>
      <c r="G19" s="11" t="n">
        <v>0</v>
      </c>
      <c r="H19" s="10" t="inlineStr">
        <is>
          <t>UPI/DR/428719928311/SWIGGY INSTAMART HDFC0000123/Order 99812/Instant</t>
        </is>
      </c>
    </row>
    <row r="20" ht="32" customHeight="1">
      <c r="A20" s="8" t="inlineStr">
        <is>
          <t>09-11-2026</t>
        </is>
      </c>
      <c r="B20" s="12" t="inlineStr">
        <is>
          <t>Payment</t>
        </is>
      </c>
      <c r="C20" s="12" t="inlineStr">
        <is>
          <t>Office Pantry &amp; Consumables A/c</t>
        </is>
      </c>
      <c r="D20" s="12" t="inlineStr">
        <is>
          <t>Primary Bank A/c</t>
        </is>
      </c>
      <c r="E20" s="8" t="inlineStr">
        <is>
          <t>428719928311</t>
        </is>
      </c>
      <c r="F20" s="11" t="n">
        <v>2450</v>
      </c>
      <c r="G20" s="11" t="n">
        <v>0</v>
      </c>
      <c r="H20" s="10" t="inlineStr">
        <is>
          <t>UPI/DR/428719928311/SWIGGY INSTAMART HDFC0000123/Order 99812/Instant</t>
        </is>
      </c>
    </row>
    <row r="21" ht="32" customHeight="1">
      <c r="A21" s="8" t="inlineStr">
        <is>
          <t>09-11-2026</t>
        </is>
      </c>
      <c r="B21" s="12" t="inlineStr">
        <is>
          <t>Payment</t>
        </is>
      </c>
      <c r="C21" s="12" t="inlineStr">
        <is>
          <t>Bank Charges A/c</t>
        </is>
      </c>
      <c r="D21" s="12" t="inlineStr">
        <is>
          <t>Primary Bank A/c</t>
        </is>
      </c>
      <c r="E21" s="8" t="inlineStr">
        <is>
          <t>FEE103408</t>
        </is>
      </c>
      <c r="F21" s="11" t="n">
        <v>5.9</v>
      </c>
      <c r="G21" s="11" t="n">
        <v>0</v>
      </c>
      <c r="H21" s="10" t="inlineStr">
        <is>
          <t>IMPS CONVENIENCE FEE</t>
        </is>
      </c>
    </row>
    <row r="22" ht="32" customHeight="1">
      <c r="A22" s="8" t="inlineStr">
        <is>
          <t>09-11-2026</t>
        </is>
      </c>
      <c r="B22" s="12" t="inlineStr">
        <is>
          <t>Payment</t>
        </is>
      </c>
      <c r="C22" s="12" t="inlineStr">
        <is>
          <t>Travelling &amp; Conveyance Exp</t>
        </is>
      </c>
      <c r="D22" s="12" t="inlineStr">
        <is>
          <t>Primary Bank A/c</t>
        </is>
      </c>
      <c r="E22" s="8" t="inlineStr">
        <is>
          <t>4129783274</t>
        </is>
      </c>
      <c r="F22" s="11" t="n">
        <v>3465.75</v>
      </c>
      <c r="G22" s="11" t="n">
        <v>0</v>
      </c>
      <c r="H22" s="10" t="inlineStr">
        <is>
          <t>UPI/DR/4129783274/UBER INDIA SYST/KKBK Trip Ride 10942</t>
        </is>
      </c>
    </row>
    <row r="23" ht="32" customHeight="1">
      <c r="A23" s="8" t="inlineStr">
        <is>
          <t>13-09-2026</t>
        </is>
      </c>
      <c r="B23" s="12" t="inlineStr">
        <is>
          <t>Receipt</t>
        </is>
      </c>
      <c r="C23" s="12" t="inlineStr">
        <is>
          <t>Sales &amp; Operating Revenue A/c</t>
        </is>
      </c>
      <c r="D23" s="12" t="inlineStr">
        <is>
          <t>Primary Bank A/c</t>
        </is>
      </c>
      <c r="E23" s="8" t="inlineStr">
        <is>
          <t>CR381696762</t>
        </is>
      </c>
      <c r="F23" s="11" t="n">
        <v>0</v>
      </c>
      <c r="G23" s="11" t="n">
        <v>5000</v>
      </c>
      <c r="H23" s="10" t="inlineStr">
        <is>
          <t>INT.PD:01-07-2026 TO 30-09-2026 CREDIT CORP PAYOUT REMARKS: INV SETTLEMENT BATCH 539</t>
        </is>
      </c>
    </row>
    <row r="24" ht="32" customHeight="1">
      <c r="A24" s="8" t="inlineStr">
        <is>
          <t>13-09-2026</t>
        </is>
      </c>
      <c r="B24" s="12" t="inlineStr">
        <is>
          <t>Payment</t>
        </is>
      </c>
      <c r="C24" s="12" t="inlineStr">
        <is>
          <t>Office Maintenance &amp; Supplies Exp</t>
        </is>
      </c>
      <c r="D24" s="12" t="inlineStr">
        <is>
          <t>Primary Bank A/c</t>
        </is>
      </c>
      <c r="E24" s="8" t="inlineStr">
        <is>
          <t>4129271444</t>
        </is>
      </c>
      <c r="F24" s="11" t="n">
        <v>6901.25</v>
      </c>
      <c r="G24" s="11" t="n">
        <v>0</v>
      </c>
      <c r="H24" s="10" t="inlineStr">
        <is>
          <t>UPI/DR/4129271444/AMAZON PAY INDIA/SBI Marketplace Ref 8812</t>
        </is>
      </c>
    </row>
    <row r="25" ht="32" customHeight="1">
      <c r="A25" s="8" t="inlineStr">
        <is>
          <t>14-09-2026</t>
        </is>
      </c>
      <c r="B25" s="12" t="inlineStr">
        <is>
          <t>Payment</t>
        </is>
      </c>
      <c r="C25" s="12" t="inlineStr">
        <is>
          <t>Staff Welfare &amp; Food Exp</t>
        </is>
      </c>
      <c r="D25" s="12" t="inlineStr">
        <is>
          <t>Primary Bank A/c</t>
        </is>
      </c>
      <c r="E25" s="8" t="inlineStr">
        <is>
          <t>4129200524</t>
        </is>
      </c>
      <c r="F25" s="11" t="n">
        <v>1665.25</v>
      </c>
      <c r="G25" s="11" t="n">
        <v>0</v>
      </c>
      <c r="H25" s="10" t="inlineStr">
        <is>
          <t>UPI/DR/4129200524/ZOMATO LIMITED/ICIC0 Food Order 77410</t>
        </is>
      </c>
    </row>
    <row r="26" ht="32" customHeight="1">
      <c r="A26" s="8" t="inlineStr">
        <is>
          <t>14-09-2026</t>
        </is>
      </c>
      <c r="B26" s="12" t="inlineStr">
        <is>
          <t>Receipt</t>
        </is>
      </c>
      <c r="C26" s="12" t="inlineStr">
        <is>
          <t>Sales &amp; Operating Revenue A/c</t>
        </is>
      </c>
      <c r="D26" s="12" t="inlineStr">
        <is>
          <t>Primary Bank A/c</t>
        </is>
      </c>
      <c r="E26" s="8" t="inlineStr">
        <is>
          <t>CR950063062</t>
        </is>
      </c>
      <c r="F26" s="11" t="n">
        <v>0</v>
      </c>
      <c r="G26" s="11" t="n">
        <v>5849</v>
      </c>
      <c r="H26" s="10" t="inlineStr">
        <is>
          <t>INT.PD:01-07-2026 TO 30-09-2026 CREDIT</t>
        </is>
      </c>
    </row>
    <row r="27" ht="32" customHeight="1">
      <c r="A27" s="8" t="inlineStr">
        <is>
          <t>16-09-2026</t>
        </is>
      </c>
      <c r="B27" s="12" t="inlineStr">
        <is>
          <t>Receipt</t>
        </is>
      </c>
      <c r="C27" s="12" t="inlineStr">
        <is>
          <t>Sales &amp; Operating Revenue A/c</t>
        </is>
      </c>
      <c r="D27" s="12" t="inlineStr">
        <is>
          <t>Primary Bank A/c</t>
        </is>
      </c>
      <c r="E27" s="8" t="inlineStr">
        <is>
          <t>CR663551161</t>
        </is>
      </c>
      <c r="F27" s="11" t="n">
        <v>0</v>
      </c>
      <c r="G27" s="11" t="n">
        <v>211409</v>
      </c>
      <c r="H27" s="10" t="inlineStr">
        <is>
          <t>ACH/CR/TECHFLOW CLIENT INVOICE 2026-09</t>
        </is>
      </c>
    </row>
    <row r="28" ht="32" customHeight="1">
      <c r="A28" s="8" t="inlineStr">
        <is>
          <t>16-09-2026</t>
        </is>
      </c>
      <c r="B28" s="12" t="inlineStr">
        <is>
          <t>Payment</t>
        </is>
      </c>
      <c r="C28" s="12" t="inlineStr">
        <is>
          <t>Bank Charges A/c</t>
        </is>
      </c>
      <c r="D28" s="12" t="inlineStr">
        <is>
          <t>Primary Bank A/c</t>
        </is>
      </c>
      <c r="E28" s="8" t="inlineStr">
        <is>
          <t>FEE642952</t>
        </is>
      </c>
      <c r="F28" s="11" t="n">
        <v>590</v>
      </c>
      <c r="G28" s="11" t="n">
        <v>0</v>
      </c>
      <c r="H28" s="10" t="inlineStr">
        <is>
          <t>DEBIT CARD ANNUAL FEE</t>
        </is>
      </c>
    </row>
    <row r="29" ht="32" customHeight="1">
      <c r="A29" s="8" t="inlineStr">
        <is>
          <t>18-09-2026</t>
        </is>
      </c>
      <c r="B29" s="12" t="inlineStr">
        <is>
          <t>Payment</t>
        </is>
      </c>
      <c r="C29" s="12" t="inlineStr">
        <is>
          <t>Travelling &amp; Conveyance Exp</t>
        </is>
      </c>
      <c r="D29" s="12" t="inlineStr">
        <is>
          <t>Primary Bank A/c</t>
        </is>
      </c>
      <c r="E29" s="8" t="inlineStr">
        <is>
          <t>4129481886</t>
        </is>
      </c>
      <c r="F29" s="11" t="n">
        <v>1518.75</v>
      </c>
      <c r="G29" s="11" t="n">
        <v>0</v>
      </c>
      <c r="H29" s="10" t="inlineStr">
        <is>
          <t>UPI/DR/4129481886/UBER INDIA SYST/KKBK Trip Ride 10942</t>
        </is>
      </c>
    </row>
    <row r="30" ht="32" customHeight="1">
      <c r="A30" s="8" t="inlineStr">
        <is>
          <t>20-09-2026</t>
        </is>
      </c>
      <c r="B30" s="12" t="inlineStr">
        <is>
          <t>Receipt</t>
        </is>
      </c>
      <c r="C30" s="12" t="inlineStr">
        <is>
          <t>Sales &amp; Operating Revenue A/c</t>
        </is>
      </c>
      <c r="D30" s="12" t="inlineStr">
        <is>
          <t>Primary Bank A/c</t>
        </is>
      </c>
      <c r="E30" s="8" t="inlineStr">
        <is>
          <t>CR948830325</t>
        </is>
      </c>
      <c r="F30" s="11" t="n">
        <v>0</v>
      </c>
      <c r="G30" s="11" t="n">
        <v>5291</v>
      </c>
      <c r="H30" s="10" t="inlineStr">
        <is>
          <t>INT.PD:01-07-2026 TO 30-09-2026 CREDIT</t>
        </is>
      </c>
    </row>
    <row r="31" ht="32" customHeight="1">
      <c r="A31" s="8" t="inlineStr">
        <is>
          <t>20-09-2026</t>
        </is>
      </c>
      <c r="B31" s="12" t="inlineStr">
        <is>
          <t>Payment</t>
        </is>
      </c>
      <c r="C31" s="12" t="inlineStr">
        <is>
          <t>Staff Welfare &amp; Food Exp</t>
        </is>
      </c>
      <c r="D31" s="12" t="inlineStr">
        <is>
          <t>Primary Bank A/c</t>
        </is>
      </c>
      <c r="E31" s="8" t="inlineStr">
        <is>
          <t>4129115217</t>
        </is>
      </c>
      <c r="F31" s="11" t="n">
        <v>3260.5</v>
      </c>
      <c r="G31" s="11" t="n">
        <v>0</v>
      </c>
      <c r="H31" s="10" t="inlineStr">
        <is>
          <t>UPI/DR/4129115217/TATA STARBUCKS/ ICIC0000229/POS Beverage 2219/MUMBAI AUTH-REF-85515 VERIFIED</t>
        </is>
      </c>
    </row>
  </sheetData>
  <autoFilter ref="A6:H31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&amp;C&amp;9 VaultSheet | Page &amp;P of &amp;N&amp;RConfidential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VaultSheet</dc:creator>
  <dc:title>VaultSheet Audited Financial Ledger</dc:title>
  <dc:subject>Executive summary, audit exceptions and voucher mapping</dc:subject>
  <dcterms:created xsi:type="dcterms:W3CDTF">2026-10-14T10:26:38Z</dcterms:created>
  <dcterms:modified xsi:type="dcterms:W3CDTF">2026-10-14T10:26:38Z</dcterms:modified>
</cp:coreProperties>
</file>